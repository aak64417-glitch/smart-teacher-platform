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0319eeaee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نك الأسئلة" sheetId="1" r:id="Rf8c396f37c7d4832"/>
    <x:sheet xmlns:r="http://schemas.openxmlformats.org/officeDocument/2006/relationships" name="خريطة النواتج" sheetId="2" r:id="Re325e17b327f4131"/>
    <x:sheet xmlns:r="http://schemas.openxmlformats.org/officeDocument/2006/relationships" name="ملخص" sheetId="3" r:id="R53478c87fefb41f0"/>
    <x:sheet xmlns:r="http://schemas.openxmlformats.org/officeDocument/2006/relationships" name="المصادر" sheetId="4" r:id="R07688ea90521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0B3D6E"/>
      </x:patternFill>
    </x:fill>
    <x:fill>
      <x:patternFill patternType="solid">
        <x:fgColor rgb="FFE8F5E9"/>
      </x:patternFill>
    </x:fill>
    <x:fill>
      <x:patternFill patternType="solid">
        <x:fgColor rgb="FFFFFFFF"/>
      </x:patternFill>
    </x:fill>
    <x:fill>
      <x:patternFill patternType="solid">
        <x:fgColor rgb="FFFFF8E1"/>
      </x:patternFill>
    </x:fill>
    <x:fill>
      <x:patternFill patternType="solid">
        <x:fgColor rgb="FFE3F2FD"/>
      </x:patternFill>
    </x:fill>
    <x:fill>
      <x:patternFill patternType="solid">
        <x:fgColor rgb="FFF3E5F5"/>
      </x:patternFill>
    </x:fill>
    <x:fill>
      <x:patternFill patternType="solid">
        <x:fgColor rgb="FFDCE6F1"/>
      </x:patternFill>
    </x:fill>
    <x:fill>
      <x:patternFill patternType="solid">
        <x:fgColor rgb="FF0B3D6E"/>
      </x:patternFill>
    </x:fill>
    <x:fill>
      <x:patternFill patternType="solid">
        <x:fgColor rgb="FFE8F5E9"/>
      </x:patternFill>
    </x:fill>
    <x:fill>
      <x:patternFill patternType="solid">
        <x:fgColor rgb="FFFFFFFF"/>
      </x:patternFill>
    </x:fill>
    <x:fill>
      <x:patternFill patternType="solid">
        <x:fgColor rgb="FFFFF8E1"/>
      </x:patternFill>
    </x:fill>
    <x:fill>
      <x:patternFill patternType="solid">
        <x:fgColor rgb="FFE3F2FD"/>
      </x:patternFill>
    </x:fill>
    <x:fill>
      <x:patternFill patternType="solid">
        <x:fgColor rgb="FFF3E5F5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 applyAlignment="1">
      <x:alignment horizontal="right" vertical="top" wrapText="1"/>
    </x:xf>
    <x:xf numFmtId="0" fontId="0" fillId="5" borderId="0" xfId="0" applyNumberFormat="1" applyFont="1" applyFill="1" applyBorder="1" applyAlignment="1">
      <x:alignment horizontal="right" vertical="top" wrapText="1"/>
    </x:xf>
    <x:xf numFmtId="0" fontId="0" fillId="5" borderId="1" xfId="0" applyNumberFormat="1" applyFont="1" applyFill="1" applyBorder="1" applyAlignment="1">
      <x:alignment horizontal="right" vertical="top" wrapText="1"/>
    </x:xf>
    <x:xf numFmtId="0" fontId="0" fillId="6" borderId="0" xfId="0" applyNumberFormat="1" applyFont="1" applyFill="1" applyBorder="1" applyAlignment="1">
      <x:alignment horizontal="right" vertical="top" wrapText="1"/>
    </x:xf>
    <x:xf numFmtId="0" fontId="0" fillId="6" borderId="1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 applyAlignment="1">
      <x:alignment horizontal="right" vertical="top" wrapText="1"/>
    </x:xf>
    <x:xf numFmtId="0" fontId="0" fillId="7" borderId="1" xfId="0" applyNumberFormat="1" applyFont="1" applyFill="1" applyBorder="1" applyAlignment="1">
      <x:alignment horizontal="right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horizontal="right" vertical="top" wrapText="1"/>
    </x:xf>
    <x:xf numFmtId="0" fontId="0" fillId="11" borderId="0" xfId="0" applyNumberFormat="1" applyFont="1" applyFill="1" applyBorder="1" applyAlignment="1">
      <x:alignment horizontal="right" vertical="top" wrapText="1"/>
    </x:xf>
    <x:xf numFmtId="0" fontId="0" fillId="12" borderId="0" xfId="0" applyNumberFormat="1" applyFont="1" applyFill="1" applyBorder="1" applyAlignment="1">
      <x:alignment horizontal="right" vertical="top" wrapText="1"/>
    </x:xf>
    <x:xf numFmtId="0" fontId="0" fillId="13" borderId="0" xfId="0" applyNumberFormat="1" applyFont="1" applyFill="1" applyBorder="1" applyAlignment="1">
      <x:alignment horizontal="right" vertical="top" wrapText="1"/>
    </x:xf>
    <x:xf numFmtId="0" fontId="0" fillId="14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48cf5809c4b37" /><Relationship Type="http://schemas.openxmlformats.org/officeDocument/2006/relationships/theme" Target="/xl/theme/theme1.xml" Id="R558e8d2abc554e75" /><Relationship Type="http://schemas.openxmlformats.org/officeDocument/2006/relationships/sharedStrings" Target="/xl/sharedStrings.xml" Id="Re28f924a786240fc" /><Relationship Type="http://schemas.openxmlformats.org/officeDocument/2006/relationships/worksheet" Target="/xl/worksheets/sheet1.xml" Id="Rf8c396f37c7d4832" /><Relationship Type="http://schemas.openxmlformats.org/officeDocument/2006/relationships/worksheet" Target="/xl/worksheets/sheet2.xml" Id="Re325e17b327f4131" /><Relationship Type="http://schemas.openxmlformats.org/officeDocument/2006/relationships/worksheet" Target="/xl/worksheets/sheet3.xml" Id="R53478c87fefb41f0" /><Relationship Type="http://schemas.openxmlformats.org/officeDocument/2006/relationships/worksheet" Target="/xl/worksheets/sheet4.xml" Id="R07688ea9052149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18c94a75f645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توزيع الأسئلة حسب التخصص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'ملخص'!$A$5:$A$8</c:f>
              <c:strCache>
                <c:ptCount val="0"/>
              </c:strCache>
            </c:strRef>
          </c:cat>
          <c:val>
            <c:numRef>
              <c:f>'ملخص'!$B$5:$B$8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18c94a75f645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70f609659194e0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30" hidden="0" customWidth="1"/>
    <x:col min="5" max="5" width="18" hidden="0" customWidth="1"/>
    <x:col min="6" max="6" width="36" hidden="0" customWidth="1"/>
    <x:col min="7" max="7" width="14" hidden="0" customWidth="1"/>
    <x:col min="8" max="8" width="12" hidden="0" customWidth="1"/>
    <x:col min="9" max="9" width="16" hidden="0" customWidth="1"/>
    <x:col min="10" max="10" width="5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12" hidden="0" customWidth="1"/>
    <x:col min="16" max="16" width="48" hidden="0" customWidth="1"/>
    <x:col min="17" max="17" width="14" hidden="0" customWidth="1"/>
    <x:col min="18" max="18" width="42" hidden="0" customWidth="1"/>
    <x:col min="19" max="19" width="38" hidden="0" customWidth="1"/>
    <x:col min="20" max="20" width="44" hidden="0" customWidth="1"/>
    <x:col min="21" max="21" width="42" hidden="0" customWidth="1"/>
  </x:cols>
  <x:sheetData>
    <x:row r="1" ht="32" customHeight="1">
      <x:c r="A1" s="6" t="str">
        <x:v>معرف السؤال</x:v>
      </x:c>
      <x:c r="B1" s="6" t="str">
        <x:v>التخصص</x:v>
      </x:c>
      <x:c r="C1" s="6" t="str">
        <x:v>المجال الرسمي</x:v>
      </x:c>
      <x:c r="D1" s="6" t="str">
        <x:v>المجال الفرعي</x:v>
      </x:c>
      <x:c r="E1" s="6" t="str">
        <x:v>كود ناتج التعلم</x:v>
      </x:c>
      <x:c r="F1" s="6" t="str">
        <x:v>المؤشر المستهدف</x:v>
      </x:c>
      <x:c r="G1" s="6" t="str">
        <x:v>المستوى الإدراكي</x:v>
      </x:c>
      <x:c r="H1" s="6" t="str">
        <x:v>الصعوبة</x:v>
      </x:c>
      <x:c r="I1" s="6" t="str">
        <x:v>نوع السؤال</x:v>
      </x:c>
      <x:c r="J1" s="6" t="str">
        <x:v>نص السؤال</x:v>
      </x:c>
      <x:c r="K1" s="6" t="str">
        <x:v>الخيار أ</x:v>
      </x:c>
      <x:c r="L1" s="6" t="str">
        <x:v>الخيار ب</x:v>
      </x:c>
      <x:c r="M1" s="6" t="str">
        <x:v>الخيار ج</x:v>
      </x:c>
      <x:c r="N1" s="6" t="str">
        <x:v>الخيار د</x:v>
      </x:c>
      <x:c r="O1" s="6" t="str">
        <x:v>الإجابة الصحيحة</x:v>
      </x:c>
      <x:c r="P1" s="6" t="str">
        <x:v>تفسير الإجابة</x:v>
      </x:c>
      <x:c r="Q1" s="6" t="str">
        <x:v>نوع الوسيط</x:v>
      </x:c>
      <x:c r="R1" s="6" t="str">
        <x:v>وصف الصورة/الرسم المطلوب</x:v>
      </x:c>
      <x:c r="S1" s="6" t="str">
        <x:v>التصنيف</x:v>
      </x:c>
      <x:c r="T1" s="6" t="str">
        <x:v>المصدر الرسمي</x:v>
      </x:c>
      <x:c r="U1" s="49" t="str">
        <x:v>مصدر النمط/المراجعة</x:v>
      </x:c>
    </x:row>
    <x:row r="2" ht="54" customHeight="1">
      <x:c r="A2" s="18" t="str">
        <x:v>BIO001</x:v>
      </x:c>
      <x:c r="B2" s="18" t="str">
        <x:v>أحياء</x:v>
      </x:c>
      <x:c r="C2" s="18" t="str">
        <x:v>علوم الحياة</x:v>
      </x:c>
      <x:c r="D2" s="18" t="str">
        <x:v>التركيب والوظيفة في المخلوقات الحية</x:v>
      </x:c>
      <x:c r="E2" s="18" t="str">
        <x:v>1-1-1-5-9</x:v>
      </x:c>
      <x:c r="F2" s="18" t="str">
        <x:v>ربط تراكيب الخلية بوظائفها</x:v>
      </x:c>
      <x:c r="G2" s="18" t="str">
        <x:v>تطبيق</x:v>
      </x:c>
      <x:c r="H2" s="18" t="str">
        <x:v>متوسط</x:v>
      </x:c>
      <x:c r="I2" s="18" t="str">
        <x:v>اختيار من متعدد</x:v>
      </x:c>
      <x:c r="J2" s="20" t="str">
        <x:v>خلية عضلية تحتاج إلى كميات كبيرة من الطاقة للانقباض. أي تركيب خلوي يُتوقع أن يكون أكثر وفرة فيها؟</x:v>
      </x:c>
      <x:c r="K2" s="20" t="str">
        <x:v>النواة</x:v>
      </x:c>
      <x:c r="L2" s="20" t="str">
        <x:v>الميتوكوندريا</x:v>
      </x:c>
      <x:c r="M2" s="20" t="str">
        <x:v>الفجوة العصارية</x:v>
      </x:c>
      <x:c r="N2" s="20" t="str">
        <x:v>الجدار الخلوي</x:v>
      </x:c>
      <x:c r="O2" s="20" t="str">
        <x:v>ب</x:v>
      </x:c>
      <x:c r="P2" s="20" t="str">
        <x:v>الميتوكوندريا هي موقع إنتاج معظم الطاقة القابلة للاستخدام في الخلية، لذا تكثر في الخلايا ذات النشاط العالي.</x:v>
      </x:c>
      <x:c r="Q2" s="18" t="str">
        <x:v>نصي</x:v>
      </x:c>
      <x:c r="R2" s="18"/>
      <x:c r="S2" s="18" t="str">
        <x:v>دفعة أولى – محاكي أصلي مبني على ناتج تعلم رسمي</x:v>
      </x:c>
      <x:c r="T2" s="18" t="str">
        <x:v>https://media.etec.gov.sa/media/sszdnh2h/%D9%86%D9%88%D8%A7%D8%AA%D8%AC-%D8%A7%D9%84%D8%AA%D8%B9%D9%84%D9%85-2026.pdf</x:v>
      </x:c>
      <x:c r="U2" t="str">
        <x:v>هيئة تقويم التعليم والتدريب – نواتج التعلم (صياغة أصلية)</x:v>
      </x:c>
    </x:row>
    <x:row r="3" ht="54" customHeight="1">
      <x:c r="A3" s="18" t="str">
        <x:v>BIO002</x:v>
      </x:c>
      <x:c r="B3" s="18" t="str">
        <x:v>أحياء</x:v>
      </x:c>
      <x:c r="C3" s="18" t="str">
        <x:v>علوم الحياة</x:v>
      </x:c>
      <x:c r="D3" s="18" t="str">
        <x:v>التركيب والوظيفة في المخلوقات الحية</x:v>
      </x:c>
      <x:c r="E3" s="18" t="str">
        <x:v>1-1-1-5-9</x:v>
      </x:c>
      <x:c r="F3" s="18" t="str">
        <x:v>دور المجاهر وأجهزة التكبير في دراسة الخلايا</x:v>
      </x:c>
      <x:c r="G3" s="18" t="str">
        <x:v>معرفة</x:v>
      </x:c>
      <x:c r="H3" s="18" t="str">
        <x:v>سهل</x:v>
      </x:c>
      <x:c r="I3" s="18" t="str">
        <x:v>اختيار من متعدد</x:v>
      </x:c>
      <x:c r="J3" s="20" t="str">
        <x:v>ما السبب الرئيس الذي جعل المجهر أداة مهمة في تطور النظرية الخلوية؟</x:v>
      </x:c>
      <x:c r="K3" s="20" t="str">
        <x:v>قياس كتلة الخلايا</x:v>
      </x:c>
      <x:c r="L3" s="20" t="str">
        <x:v>رؤية تراكيب صغيرة لا تُرى بالعين المجردة</x:v>
      </x:c>
      <x:c r="M3" s="20" t="str">
        <x:v>تحديد درجة حرارة الخلية</x:v>
      </x:c>
      <x:c r="N3" s="20" t="str">
        <x:v>فصل الخلايا عن الأنسجة</x:v>
      </x:c>
      <x:c r="O3" s="20" t="str">
        <x:v>ب</x:v>
      </x:c>
      <x:c r="P3" s="20" t="str">
        <x:v>المجهر أتاح للعلماء مشاهدة الخلايا ومكوناتها التي لا يمكن رؤيتها بالعين المجردة.</x:v>
      </x:c>
      <x:c r="Q3" s="18" t="str">
        <x:v>نصي</x:v>
      </x:c>
      <x:c r="R3" s="18"/>
      <x:c r="S3" s="18" t="str">
        <x:v>دفعة أولى – محاكي أصلي مبني على ناتج تعلم رسمي</x:v>
      </x:c>
      <x:c r="T3" s="18" t="str">
        <x:v>https://media.etec.gov.sa/media/sszdnh2h/%D9%86%D9%88%D8%A7%D8%AA%D8%AC-%D8%A7%D9%84%D8%AA%D8%B9%D9%84%D9%85-2026.pdf</x:v>
      </x:c>
      <x:c r="U3" t="str">
        <x:v>هيئة تقويم التعليم والتدريب – نواتج التعلم (صياغة أصلية)</x:v>
      </x:c>
    </x:row>
    <x:row r="4" ht="54" customHeight="1">
      <x:c r="A4" s="18" t="str">
        <x:v>BIO003</x:v>
      </x:c>
      <x:c r="B4" s="18" t="str">
        <x:v>أحياء</x:v>
      </x:c>
      <x:c r="C4" s="18" t="str">
        <x:v>علوم الحياة</x:v>
      </x:c>
      <x:c r="D4" s="18" t="str">
        <x:v>التركيب والوظيفة في المخلوقات الحية</x:v>
      </x:c>
      <x:c r="E4" s="18" t="str">
        <x:v>1-1-1-5-9</x:v>
      </x:c>
      <x:c r="F4" s="18" t="str">
        <x:v>المقارنة بين وحيدة الخلية ومتعددة الخلايا</x:v>
      </x:c>
      <x:c r="G4" s="18" t="str">
        <x:v>استدلال</x:v>
      </x:c>
      <x:c r="H4" s="18" t="str">
        <x:v>متوسط</x:v>
      </x:c>
      <x:c r="I4" s="18" t="str">
        <x:v>اختيار من متعدد</x:v>
      </x:c>
      <x:c r="J4" s="20" t="str">
        <x:v>وُجد مخلوق مجهري يقوم بالتغذي والحركة والتكاثر بخلية واحدة فقط. أي وصف هو الأدق لهذا المخلوق؟</x:v>
      </x:c>
      <x:c r="K4" s="20" t="str">
        <x:v>متعدد الخلايا لأن له أكثر من وظيفة</x:v>
      </x:c>
      <x:c r="L4" s="20" t="str">
        <x:v>وحيد الخلية لأن خلية واحدة تؤدي جميع الوظائف الحيوية</x:v>
      </x:c>
      <x:c r="M4" s="20" t="str">
        <x:v>متعدد الخلايا لأنه يتكاثر</x:v>
      </x:c>
      <x:c r="N4" s="20" t="str">
        <x:v>وحيد الخلية لأنه لا يحتاج إلى طاقة</x:v>
      </x:c>
      <x:c r="O4" s="20" t="str">
        <x:v>ب</x:v>
      </x:c>
      <x:c r="P4" s="20" t="str">
        <x:v>المخلوق وحيد الخلية تنفذ خلية واحدة فيه جميع الوظائف الحيوية الأساسية.</x:v>
      </x:c>
      <x:c r="Q4" s="18" t="str">
        <x:v>نصي</x:v>
      </x:c>
      <x:c r="R4" s="18"/>
      <x:c r="S4" s="18" t="str">
        <x:v>دفعة أولى – محاكي أصلي مبني على ناتج تعلم رسمي</x:v>
      </x:c>
      <x:c r="T4" s="18" t="str">
        <x:v>https://media.etec.gov.sa/media/sszdnh2h/%D9%86%D9%88%D8%A7%D8%AA%D8%AC-%D8%A7%D9%84%D8%AA%D8%B9%D9%84%D9%85-2026.pdf</x:v>
      </x:c>
      <x:c r="U4" t="str">
        <x:v>هيئة تقويم التعليم والتدريب – نواتج التعلم (صياغة أصلية)</x:v>
      </x:c>
    </x:row>
    <x:row r="5" ht="54" customHeight="1">
      <x:c r="A5" s="18" t="str">
        <x:v>BIO004</x:v>
      </x:c>
      <x:c r="B5" s="18" t="str">
        <x:v>أحياء</x:v>
      </x:c>
      <x:c r="C5" s="18" t="str">
        <x:v>علوم الحياة</x:v>
      </x:c>
      <x:c r="D5" s="18" t="str">
        <x:v>دورة الخلية والانقسام</x:v>
      </x:c>
      <x:c r="E5" s="18" t="str">
        <x:v>2-1-1-5-9</x:v>
      </x:c>
      <x:c r="F5" s="18" t="str">
        <x:v>أحداث الطور البيني في دورة الخلية</x:v>
      </x:c>
      <x:c r="G5" s="18" t="str">
        <x:v>تطبيق</x:v>
      </x:c>
      <x:c r="H5" s="18" t="str">
        <x:v>متوسط</x:v>
      </x:c>
      <x:c r="I5" s="18" t="str">
        <x:v>اختيار من متعدد</x:v>
      </x:c>
      <x:c r="J5" s="20" t="str">
        <x:v>إذا مُنعت خلية من مضاعفة مادتها الوراثية قبل الانقسام، فأي مرحلة تأثرت مباشرة؟</x:v>
      </x:c>
      <x:c r="K5" s="20" t="str">
        <x:v>الطور البيني</x:v>
      </x:c>
      <x:c r="L5" s="20" t="str">
        <x:v>الطور النهائي</x:v>
      </x:c>
      <x:c r="M5" s="20" t="str">
        <x:v>الانقسام السيتوبلازمي</x:v>
      </x:c>
      <x:c r="N5" s="20" t="str">
        <x:v>تكوين الأمشاج</x:v>
      </x:c>
      <x:c r="O5" s="20" t="str">
        <x:v>أ</x:v>
      </x:c>
      <x:c r="P5" s="20" t="str">
        <x:v>مضاعفة DNA تتم خلال الطور البيني استعدادًا للانقسام.</x:v>
      </x:c>
      <x:c r="Q5" s="18" t="str">
        <x:v>نصي</x:v>
      </x:c>
      <x:c r="R5" s="18"/>
      <x:c r="S5" s="18" t="str">
        <x:v>دفعة أولى – محاكي أصلي مبني على ناتج تعلم رسمي</x:v>
      </x:c>
      <x:c r="T5" s="18" t="str">
        <x:v>https://media.etec.gov.sa/media/sszdnh2h/%D9%86%D9%88%D8%A7%D8%AA%D8%AC-%D8%A7%D9%84%D8%AA%D8%B9%D9%84%D9%85-2026.pdf</x:v>
      </x:c>
      <x:c r="U5" t="str">
        <x:v>هيئة تقويم التعليم والتدريب – نواتج التعلم (صياغة أصلية)</x:v>
      </x:c>
    </x:row>
    <x:row r="6" ht="54" customHeight="1">
      <x:c r="A6" s="18" t="str">
        <x:v>BIO005</x:v>
      </x:c>
      <x:c r="B6" s="18" t="str">
        <x:v>أحياء</x:v>
      </x:c>
      <x:c r="C6" s="18" t="str">
        <x:v>علوم الحياة</x:v>
      </x:c>
      <x:c r="D6" s="18" t="str">
        <x:v>دورة الخلية والانقسام</x:v>
      </x:c>
      <x:c r="E6" s="18" t="str">
        <x:v>2-1-1-5-9</x:v>
      </x:c>
      <x:c r="F6" s="18" t="str">
        <x:v>ناتج الانقسام المتساوي</x:v>
      </x:c>
      <x:c r="G6" s="18" t="str">
        <x:v>معرفة</x:v>
      </x:c>
      <x:c r="H6" s="18" t="str">
        <x:v>سهل</x:v>
      </x:c>
      <x:c r="I6" s="18" t="str">
        <x:v>اختيار من متعدد</x:v>
      </x:c>
      <x:c r="J6" s="20" t="str">
        <x:v>ينتج عن الانقسام المتساوي في خلية جسمية بشرية خليتان:</x:v>
      </x:c>
      <x:c r="K6" s="20" t="str">
        <x:v>تحمل كل منهما نصف عدد الكروموسومات</x:v>
      </x:c>
      <x:c r="L6" s="20" t="str">
        <x:v>متطابقتان غالبًا وتحمل كل منهما العدد نفسه من الكروموسومات</x:v>
      </x:c>
      <x:c r="M6" s="20" t="str">
        <x:v>تحمل إحداهما كروموسومات أكثر من الأخرى</x:v>
      </x:c>
      <x:c r="N6" s="20" t="str">
        <x:v>تتحولان مباشرة إلى أمشاج</x:v>
      </x:c>
      <x:c r="O6" s="20" t="str">
        <x:v>ب</x:v>
      </x:c>
      <x:c r="P6" s="20" t="str">
        <x:v>الانقسام المتساوي يحافظ على عدد الكروموسومات وينتج خليتين متماثلتين وراثيًا غالبًا.</x:v>
      </x:c>
      <x:c r="Q6" s="18" t="str">
        <x:v>نصي</x:v>
      </x:c>
      <x:c r="R6" s="18"/>
      <x:c r="S6" s="18" t="str">
        <x:v>دفعة أولى – محاكي أصلي مبني على ناتج تعلم رسمي</x:v>
      </x:c>
      <x:c r="T6" s="18" t="str">
        <x:v>https://media.etec.gov.sa/media/sszdnh2h/%D9%86%D9%88%D8%A7%D8%AA%D8%AC-%D8%A7%D9%84%D8%AA%D8%B9%D9%84%D9%85-2026.pdf</x:v>
      </x:c>
      <x:c r="U6" t="str">
        <x:v>هيئة تقويم التعليم والتدريب – نواتج التعلم (صياغة أصلية)</x:v>
      </x:c>
    </x:row>
    <x:row r="7" ht="54" customHeight="1">
      <x:c r="A7" s="18" t="str">
        <x:v>BIO006</x:v>
      </x:c>
      <x:c r="B7" s="18" t="str">
        <x:v>أحياء</x:v>
      </x:c>
      <x:c r="C7" s="18" t="str">
        <x:v>علوم الحياة</x:v>
      </x:c>
      <x:c r="D7" s="18" t="str">
        <x:v>دورة الخلية والانقسام</x:v>
      </x:c>
      <x:c r="E7" s="18" t="str">
        <x:v>2-1-1-5-9</x:v>
      </x:c>
      <x:c r="F7" s="18" t="str">
        <x:v>المقارنة بين المتساوي والمنصف</x:v>
      </x:c>
      <x:c r="G7" s="18" t="str">
        <x:v>تطبيق</x:v>
      </x:c>
      <x:c r="H7" s="18" t="str">
        <x:v>متوسط</x:v>
      </x:c>
      <x:c r="I7" s="18" t="str">
        <x:v>اختيار من متعدد</x:v>
      </x:c>
      <x:c r="J7" s="20" t="str">
        <x:v>أي عملية تفسر بقاء عدد كروموسومات النوع ثابتًا بعد الإخصاب؟</x:v>
      </x:c>
      <x:c r="K7" s="20" t="str">
        <x:v>الانقسام المتساوي في الأمشاج</x:v>
      </x:c>
      <x:c r="L7" s="20" t="str">
        <x:v>الانقسام المنصف الذي يخفض عدد الكروموسومات إلى النصف</x:v>
      </x:c>
      <x:c r="M7" s="20" t="str">
        <x:v>زيادة حجم الخلية قبل الانقسام</x:v>
      </x:c>
      <x:c r="N7" s="20" t="str">
        <x:v>تضاعف الكروموسومات بعد الإخصاب فقط</x:v>
      </x:c>
      <x:c r="O7" s="20" t="str">
        <x:v>ب</x:v>
      </x:c>
      <x:c r="P7" s="20" t="str">
        <x:v>الانقسام المنصف ينتج أمشاجًا أحادية المجموعة الكروموسومية، ثم يعيد الإخصاب العدد الثنائي.</x:v>
      </x:c>
      <x:c r="Q7" s="18" t="str">
        <x:v>نصي</x:v>
      </x:c>
      <x:c r="R7" s="18"/>
      <x:c r="S7" s="18" t="str">
        <x:v>دفعة أولى – محاكي أصلي مبني على ناتج تعلم رسمي</x:v>
      </x:c>
      <x:c r="T7" s="18" t="str">
        <x:v>https://media.etec.gov.sa/media/sszdnh2h/%D9%86%D9%88%D8%A7%D8%AA%D8%AC-%D8%A7%D9%84%D8%AA%D8%B9%D9%84%D9%85-2026.pdf</x:v>
      </x:c>
      <x:c r="U7" t="str">
        <x:v>هيئة تقويم التعليم والتدريب – نواتج التعلم (صياغة أصلية)</x:v>
      </x:c>
    </x:row>
    <x:row r="8" ht="54" customHeight="1">
      <x:c r="A8" s="18" t="str">
        <x:v>BIO007</x:v>
      </x:c>
      <x:c r="B8" s="18" t="str">
        <x:v>أحياء</x:v>
      </x:c>
      <x:c r="C8" s="18" t="str">
        <x:v>علوم الحياة</x:v>
      </x:c>
      <x:c r="D8" s="18" t="str">
        <x:v>أجهزة جسم الإنسان</x:v>
      </x:c>
      <x:c r="E8" s="18" t="str">
        <x:v>3-1-1-5-9</x:v>
      </x:c>
      <x:c r="F8" s="18" t="str">
        <x:v>تكامل الأجهزة للمحافظة على الاتزان الداخلي</x:v>
      </x:c>
      <x:c r="G8" s="18" t="str">
        <x:v>تطبيق</x:v>
      </x:c>
      <x:c r="H8" s="18" t="str">
        <x:v>متوسط</x:v>
      </x:c>
      <x:c r="I8" s="18" t="str">
        <x:v>اختيار من متعدد</x:v>
      </x:c>
      <x:c r="J8" s="20" t="str">
        <x:v>أثناء الجري يزداد معدل التنفس ونبض القلب. ما أفضل تفسير لهذا التغير؟</x:v>
      </x:c>
      <x:c r="K8" s="20" t="str">
        <x:v>تقليل وصول الأكسجين إلى العضلات</x:v>
      </x:c>
      <x:c r="L8" s="20" t="str">
        <x:v>زيادة تزويد الخلايا بالأكسجين والتخلص من ثاني أكسيد الكربون</x:v>
      </x:c>
      <x:c r="M8" s="20" t="str">
        <x:v>خفض درجة حرارة الدم فقط</x:v>
      </x:c>
      <x:c r="N8" s="20" t="str">
        <x:v>إيقاف إنتاج الطاقة في العضلات</x:v>
      </x:c>
      <x:c r="O8" s="20" t="str">
        <x:v>ب</x:v>
      </x:c>
      <x:c r="P8" s="20" t="str">
        <x:v>يتكامل الجهازان التنفسي والدوري لزيادة إمداد الخلايا بالأكسجين والتخلص من الفضلات الغازية.</x:v>
      </x:c>
      <x:c r="Q8" s="18" t="str">
        <x:v>نصي</x:v>
      </x:c>
      <x:c r="R8" s="18"/>
      <x:c r="S8" s="18" t="str">
        <x:v>دفعة أولى – محاكي أصلي مبني على ناتج تعلم رسمي</x:v>
      </x:c>
      <x:c r="T8" s="18" t="str">
        <x:v>https://media.etec.gov.sa/media/sszdnh2h/%D9%86%D9%88%D8%A7%D8%AA%D8%AC-%D8%A7%D9%84%D8%AA%D8%B9%D9%84%D9%85-2026.pdf</x:v>
      </x:c>
      <x:c r="U8" t="str">
        <x:v>هيئة تقويم التعليم والتدريب – نواتج التعلم (صياغة أصلية)</x:v>
      </x:c>
    </x:row>
    <x:row r="9" ht="54" customHeight="1">
      <x:c r="A9" s="18" t="str">
        <x:v>BIO008</x:v>
      </x:c>
      <x:c r="B9" s="18" t="str">
        <x:v>أحياء</x:v>
      </x:c>
      <x:c r="C9" s="18" t="str">
        <x:v>علوم الحياة</x:v>
      </x:c>
      <x:c r="D9" s="18" t="str">
        <x:v>أجهزة جسم الإنسان</x:v>
      </x:c>
      <x:c r="E9" s="18" t="str">
        <x:v>3-1-1-5-9</x:v>
      </x:c>
      <x:c r="F9" s="18" t="str">
        <x:v>التنبؤ بأثر خلل أحد الأجهزة</x:v>
      </x:c>
      <x:c r="G9" s="18" t="str">
        <x:v>استدلال</x:v>
      </x:c>
      <x:c r="H9" s="18" t="str">
        <x:v>متوسط</x:v>
      </x:c>
      <x:c r="I9" s="18" t="str">
        <x:v>اختيار من متعدد</x:v>
      </x:c>
      <x:c r="J9" s="20" t="str">
        <x:v>إذا انخفضت قدرة الكليتين على تنقية الدم بدرجة كبيرة، فأي نتيجة متوقعة مباشرة؟</x:v>
      </x:c>
      <x:c r="K9" s="20" t="str">
        <x:v>زيادة تراكم الفضلات في الدم</x:v>
      </x:c>
      <x:c r="L9" s="20" t="str">
        <x:v>زيادة امتصاص الضوء في العين</x:v>
      </x:c>
      <x:c r="M9" s="20" t="str">
        <x:v>زيادة طول العظام</x:v>
      </x:c>
      <x:c r="N9" s="20" t="str">
        <x:v>توقف حركة الهواء في القصبة الهوائية فقط</x:v>
      </x:c>
      <x:c r="O9" s="20" t="str">
        <x:v>أ</x:v>
      </x:c>
      <x:c r="P9" s="20" t="str">
        <x:v>الكليتان جزء أساسي من الجهاز الإخراجي وتزيلان الفضلات من الدم، لذا يؤدي الخلل إلى تراكمها.</x:v>
      </x:c>
      <x:c r="Q9" s="18" t="str">
        <x:v>نصي</x:v>
      </x:c>
      <x:c r="R9" s="18"/>
      <x:c r="S9" s="18" t="str">
        <x:v>دفعة أولى – محاكي أصلي مبني على ناتج تعلم رسمي</x:v>
      </x:c>
      <x:c r="T9" s="18" t="str">
        <x:v>https://media.etec.gov.sa/media/sszdnh2h/%D9%86%D9%88%D8%A7%D8%AA%D8%AC-%D8%A7%D9%84%D8%AA%D8%B9%D9%84%D9%85-2026.pdf</x:v>
      </x:c>
      <x:c r="U9" t="str">
        <x:v>هيئة تقويم التعليم والتدريب – نواتج التعلم (صياغة أصلية)</x:v>
      </x:c>
    </x:row>
    <x:row r="10" ht="54" customHeight="1">
      <x:c r="A10" s="18" t="str">
        <x:v>BIO009</x:v>
      </x:c>
      <x:c r="B10" s="18" t="str">
        <x:v>أحياء</x:v>
      </x:c>
      <x:c r="C10" s="18" t="str">
        <x:v>علوم الحياة</x:v>
      </x:c>
      <x:c r="D10" s="18" t="str">
        <x:v>تنظيم المخلوقات الحية وتنوعها</x:v>
      </x:c>
      <x:c r="E10" s="18" t="str">
        <x:v>1-2-1-5-9</x:v>
      </x:c>
      <x:c r="F10" s="18" t="str">
        <x:v>استخدام التصنيف الحديث</x:v>
      </x:c>
      <x:c r="G10" s="18" t="str">
        <x:v>تطبيق</x:v>
      </x:c>
      <x:c r="H10" s="18" t="str">
        <x:v>متوسط</x:v>
      </x:c>
      <x:c r="I10" s="18" t="str">
        <x:v>اختيار من متعدد</x:v>
      </x:c>
      <x:c r="J10" s="20" t="str">
        <x:v>يعرض الشكل أربع مخلوقات، اثنان منها يشتركان في أكبر عدد من الصفات التركيبية. أي زوج يُتوقع أن يكون أكثر تقاربًا تصنيفيًا؟</x:v>
      </x:c>
      <x:c r="K10" s="20" t="str">
        <x:v>الزوج الذي يشترك في صفة واحدة فقط</x:v>
      </x:c>
      <x:c r="L10" s="20" t="str">
        <x:v>الزوج الذي يشترك في أكبر عدد من الصفات</x:v>
      </x:c>
      <x:c r="M10" s="20" t="str">
        <x:v>الزوج الأكبر حجمًا</x:v>
      </x:c>
      <x:c r="N10" s="20" t="str">
        <x:v>الزوج الذي يعيش في منطقتين مختلفتين</x:v>
      </x:c>
      <x:c r="O10" s="20" t="str">
        <x:v>ب</x:v>
      </x:c>
      <x:c r="P10" s="20" t="str">
        <x:v>كلما زاد التشابه في الصفات الأساسية زاد احتمال التقارب في التصنيف الحديث.</x:v>
      </x:c>
      <x:c r="Q10" s="18" t="str">
        <x:v>صورة</x:v>
      </x:c>
      <x:c r="R10" s="18" t="str">
        <x:v>رسم مبسط لأربع مخلوقات مع جدول صغير للصفات المشتركة دون أسماء حقيقية</x:v>
      </x:c>
      <x:c r="S10" s="18" t="str">
        <x:v>دفعة أولى – محاكي أصلي مبني على ناتج تعلم رسمي</x:v>
      </x:c>
      <x:c r="T10" s="18" t="str">
        <x:v>https://media.etec.gov.sa/media/sszdnh2h/%D9%86%D9%88%D8%A7%D8%AA%D8%AC-%D8%A7%D9%84%D8%AA%D8%B9%D9%84%D9%85-2026.pdf</x:v>
      </x:c>
      <x:c r="U10" t="str">
        <x:v>هيئة تقويم التعليم والتدريب – نواتج التعلم (صياغة أصلية)</x:v>
      </x:c>
    </x:row>
    <x:row r="11" ht="54" customHeight="1">
      <x:c r="A11" s="18" t="str">
        <x:v>BIO010</x:v>
      </x:c>
      <x:c r="B11" s="18" t="str">
        <x:v>أحياء</x:v>
      </x:c>
      <x:c r="C11" s="18" t="str">
        <x:v>علوم الحياة</x:v>
      </x:c>
      <x:c r="D11" s="18" t="str">
        <x:v>الأنظمة البيئية وتفاعلاتها</x:v>
      </x:c>
      <x:c r="E11" s="18" t="str">
        <x:v>1-3-1-5-9</x:v>
      </x:c>
      <x:c r="F11" s="18" t="str">
        <x:v>أثر التكيف والتنوع الحيوي</x:v>
      </x:c>
      <x:c r="G11" s="18" t="str">
        <x:v>استدلال</x:v>
      </x:c>
      <x:c r="H11" s="18" t="str">
        <x:v>متوسط</x:v>
      </x:c>
      <x:c r="I11" s="18" t="str">
        <x:v>اختيار من متعدد</x:v>
      </x:c>
      <x:c r="J11" s="20" t="str">
        <x:v>في بيئة صحراوية، أي صفة تزيد غالبًا فرصة بقاء نبات خلال فترات الجفاف الطويلة؟</x:v>
      </x:c>
      <x:c r="K11" s="20" t="str">
        <x:v>أوراق عريضة رقيقة كثيرة الثغور</x:v>
      </x:c>
      <x:c r="L11" s="20" t="str">
        <x:v>جذور سطحية قصيرة جدًا فقط</x:v>
      </x:c>
      <x:c r="M11" s="20" t="str">
        <x:v>تقليل فقد الماء بغطاء شمعي على الأوراق</x:v>
      </x:c>
      <x:c r="N11" s="20" t="str">
        <x:v>زيادة فقد الماء نهارًا</x:v>
      </x:c>
      <x:c r="O11" s="20" t="str">
        <x:v>ج</x:v>
      </x:c>
      <x:c r="P11" s="20" t="str">
        <x:v>الغطاء الشمعي يقلل فقد الماء، وهو تكيف يساعد النبات على البقاء في البيئات الجافة.</x:v>
      </x:c>
      <x:c r="Q11" s="18" t="str">
        <x:v>نصي</x:v>
      </x:c>
      <x:c r="R11" s="18"/>
      <x:c r="S11" s="18" t="str">
        <x:v>دفعة أولى – محاكي أصلي مبني على ناتج تعلم رسمي</x:v>
      </x:c>
      <x:c r="T11" s="18" t="str">
        <x:v>https://media.etec.gov.sa/media/sszdnh2h/%D9%86%D9%88%D8%A7%D8%AA%D8%AC-%D8%A7%D9%84%D8%AA%D8%B9%D9%84%D9%85-2026.pdf</x:v>
      </x:c>
      <x:c r="U11" t="str">
        <x:v>هيئة تقويم التعليم والتدريب – نواتج التعلم (صياغة أصلية)</x:v>
      </x:c>
    </x:row>
    <x:row r="12" ht="54" customHeight="1">
      <x:c r="A12" s="18" t="str">
        <x:v>BIO011</x:v>
      </x:c>
      <x:c r="B12" s="18" t="str">
        <x:v>أحياء</x:v>
      </x:c>
      <x:c r="C12" s="18" t="str">
        <x:v>علوم الحياة</x:v>
      </x:c>
      <x:c r="D12" s="18" t="str">
        <x:v>الأنظمة البيئية وتفاعلاتها</x:v>
      </x:c>
      <x:c r="E12" s="18" t="str">
        <x:v>3-3-1-5-9</x:v>
      </x:c>
      <x:c r="F12" s="18" t="str">
        <x:v>توقع أثر فقد مكوّن من الشبكة الغذائية</x:v>
      </x:c>
      <x:c r="G12" s="18" t="str">
        <x:v>استدلال</x:v>
      </x:c>
      <x:c r="H12" s="18" t="str">
        <x:v>صعب</x:v>
      </x:c>
      <x:c r="I12" s="18" t="str">
        <x:v>اختيار من متعدد</x:v>
      </x:c>
      <x:c r="J12" s="20" t="str">
        <x:v>في شبكة غذائية تتغذى فيها الصقور على الأفاعي، وتتغذى الأفاعي على الفئران. إذا انخفض عدد الأفاعي بشدة، فما التغير الأقرب حدوثًا أولًا؟</x:v>
      </x:c>
      <x:c r="K12" s="20" t="str">
        <x:v>انخفاض الفئران مباشرة</x:v>
      </x:c>
      <x:c r="L12" s="20" t="str">
        <x:v>زيادة الفئران غالبًا</x:v>
      </x:c>
      <x:c r="M12" s="20" t="str">
        <x:v>زيادة الصقور حتمًا</x:v>
      </x:c>
      <x:c r="N12" s="20" t="str">
        <x:v>اختفاء النباتات فورًا</x:v>
      </x:c>
      <x:c r="O12" s="20" t="str">
        <x:v>ب</x:v>
      </x:c>
      <x:c r="P12" s="20" t="str">
        <x:v>انخفاض المفترس المباشر للفئران يقلل الافتراس عليها، فيُتوقع ارتفاع أعدادها أولًا.</x:v>
      </x:c>
      <x:c r="Q12" s="18" t="str">
        <x:v>صورة</x:v>
      </x:c>
      <x:c r="R12" s="18" t="str">
        <x:v>شبكة غذائية بسيطة: نباتات ← فئران ← أفاعي ← صقور</x:v>
      </x:c>
      <x:c r="S12" s="18" t="str">
        <x:v>دفعة أولى – محاكي أصلي مبني على ناتج تعلم رسمي</x:v>
      </x:c>
      <x:c r="T12" s="18" t="str">
        <x:v>https://media.etec.gov.sa/media/sszdnh2h/%D9%86%D9%88%D8%A7%D8%AA%D8%AC-%D8%A7%D9%84%D8%AA%D8%B9%D9%84%D9%85-2026.pdf</x:v>
      </x:c>
      <x:c r="U12" t="str">
        <x:v>هيئة تقويم التعليم والتدريب – نواتج التعلم (صياغة أصلية)</x:v>
      </x:c>
    </x:row>
    <x:row r="13" ht="54" customHeight="1">
      <x:c r="A13" s="18" t="str">
        <x:v>BIO012</x:v>
      </x:c>
      <x:c r="B13" s="18" t="str">
        <x:v>أحياء</x:v>
      </x:c>
      <x:c r="C13" s="18" t="str">
        <x:v>علوم الحياة</x:v>
      </x:c>
      <x:c r="D13" s="18" t="str">
        <x:v>الأنظمة البيئية وتفاعلاتها</x:v>
      </x:c>
      <x:c r="E13" s="18" t="str">
        <x:v>3-3-1-5-9</x:v>
      </x:c>
      <x:c r="F13" s="18" t="str">
        <x:v>دورات المواد واستدامة النظام البيئي</x:v>
      </x:c>
      <x:c r="G13" s="18" t="str">
        <x:v>تطبيق</x:v>
      </x:c>
      <x:c r="H13" s="18" t="str">
        <x:v>متوسط</x:v>
      </x:c>
      <x:c r="I13" s="18" t="str">
        <x:v>اختيار من متعدد</x:v>
      </x:c>
      <x:c r="J13" s="20" t="str">
        <x:v>أي عملية تعيد ثاني أكسيد الكربون من المخلوقات الحية إلى الغلاف الجوي؟</x:v>
      </x:c>
      <x:c r="K13" s="20" t="str">
        <x:v>البناء الضوئي</x:v>
      </x:c>
      <x:c r="L13" s="20" t="str">
        <x:v>التنفس الخلوي</x:v>
      </x:c>
      <x:c r="M13" s="20" t="str">
        <x:v>امتصاص الجذور للأملاح</x:v>
      </x:c>
      <x:c r="N13" s="20" t="str">
        <x:v>تثبيت النيتروجين</x:v>
      </x:c>
      <x:c r="O13" s="20" t="str">
        <x:v>ب</x:v>
      </x:c>
      <x:c r="P13" s="20" t="str">
        <x:v>التنفس الخلوي يحرر ثاني أكسيد الكربون إلى البيئة.</x:v>
      </x:c>
      <x:c r="Q13" s="18" t="str">
        <x:v>نصي</x:v>
      </x:c>
      <x:c r="R13" s="18"/>
      <x:c r="S13" s="18" t="str">
        <x:v>دفعة أولى – محاكي أصلي مبني على ناتج تعلم رسمي</x:v>
      </x:c>
      <x:c r="T13" s="18" t="str">
        <x:v>https://media.etec.gov.sa/media/sszdnh2h/%D9%86%D9%88%D8%A7%D8%AA%D8%AC-%D8%A7%D9%84%D8%AA%D8%B9%D9%84%D9%85-2026.pdf</x:v>
      </x:c>
      <x:c r="U13" t="str">
        <x:v>هيئة تقويم التعليم والتدريب – نواتج التعلم (صياغة أصلية)</x:v>
      </x:c>
    </x:row>
    <x:row r="14" ht="54" customHeight="1">
      <x:c r="A14" s="18" t="str">
        <x:v>BIO013</x:v>
      </x:c>
      <x:c r="B14" s="18" t="str">
        <x:v>أحياء</x:v>
      </x:c>
      <x:c r="C14" s="18" t="str">
        <x:v>علوم الحياة</x:v>
      </x:c>
      <x:c r="D14" s="18" t="str">
        <x:v>الأنظمة البيئية وتفاعلاتها</x:v>
      </x:c>
      <x:c r="E14" s="18" t="str">
        <x:v>4-3-1-5-9</x:v>
      </x:c>
      <x:c r="F14" s="18" t="str">
        <x:v>تمييز العلاقات التفاعلية</x:v>
      </x:c>
      <x:c r="G14" s="18" t="str">
        <x:v>تطبيق</x:v>
      </x:c>
      <x:c r="H14" s="18" t="str">
        <x:v>متوسط</x:v>
      </x:c>
      <x:c r="I14" s="18" t="str">
        <x:v>اختيار من متعدد</x:v>
      </x:c>
      <x:c r="J14" s="20" t="str">
        <x:v>تعيش بعض الطيور قرب حيوانات كبيرة وتتغذى على الطفيليات الموجودة على جلدها، فيستفيد الطرفان. ما نوع العلاقة؟</x:v>
      </x:c>
      <x:c r="K14" s="20" t="str">
        <x:v>تنافس</x:v>
      </x:c>
      <x:c r="L14" s="20" t="str">
        <x:v>افتراس</x:v>
      </x:c>
      <x:c r="M14" s="20" t="str">
        <x:v>تبادل منفعة</x:v>
      </x:c>
      <x:c r="N14" s="20" t="str">
        <x:v>تطفل</x:v>
      </x:c>
      <x:c r="O14" s="20" t="str">
        <x:v>ج</x:v>
      </x:c>
      <x:c r="P14" s="20" t="str">
        <x:v>في تبادل المنفعة يحصل كلا المخلوقين على فائدة.</x:v>
      </x:c>
      <x:c r="Q14" s="18" t="str">
        <x:v>نصي</x:v>
      </x:c>
      <x:c r="R14" s="18"/>
      <x:c r="S14" s="18" t="str">
        <x:v>دفعة أولى – محاكي أصلي مبني على ناتج تعلم رسمي</x:v>
      </x:c>
      <x:c r="T14" s="18" t="str">
        <x:v>https://media.etec.gov.sa/media/sszdnh2h/%D9%86%D9%88%D8%A7%D8%AA%D8%AC-%D8%A7%D9%84%D8%AA%D8%B9%D9%84%D9%85-2026.pdf</x:v>
      </x:c>
      <x:c r="U14" t="str">
        <x:v>هيئة تقويم التعليم والتدريب – نواتج التعلم (صياغة أصلية)</x:v>
      </x:c>
    </x:row>
    <x:row r="15" ht="54" customHeight="1">
      <x:c r="A15" s="18" t="str">
        <x:v>BIO014</x:v>
      </x:c>
      <x:c r="B15" s="18" t="str">
        <x:v>أحياء</x:v>
      </x:c>
      <x:c r="C15" s="18" t="str">
        <x:v>علوم الحياة</x:v>
      </x:c>
      <x:c r="D15" s="18" t="str">
        <x:v>الأنظمة البيئية وتفاعلاتها</x:v>
      </x:c>
      <x:c r="E15" s="18" t="str">
        <x:v>5-3-1-5-9</x:v>
      </x:c>
      <x:c r="F15" s="18" t="str">
        <x:v>تحليل عوامل اتزان النظام البيئي</x:v>
      </x:c>
      <x:c r="G15" s="18" t="str">
        <x:v>استدلال</x:v>
      </x:c>
      <x:c r="H15" s="18" t="str">
        <x:v>صعب</x:v>
      </x:c>
      <x:c r="I15" s="18" t="str">
        <x:v>اختيار من متعدد</x:v>
      </x:c>
      <x:c r="J15" s="20" t="str">
        <x:v>يوضح جدول أن منطقة (أ) تمتلك تنوعًا حيويًا مرتفعًا ومياهًا نظيفة وتربة ثابتة، بينما منطقة (ب) تعاني تلوثًا وانجرافًا وتنوعًا منخفضًا. أي استنتاج أدق؟</x:v>
      </x:c>
      <x:c r="K15" s="20" t="str">
        <x:v>المنطقة (ب) أكثر اتزانًا</x:v>
      </x:c>
      <x:c r="L15" s="20" t="str">
        <x:v>المنطقة (أ) أكثر اتزانًا</x:v>
      </x:c>
      <x:c r="M15" s="20" t="str">
        <x:v>المنطقتان متساويتان في الاتزان</x:v>
      </x:c>
      <x:c r="N15" s="20" t="str">
        <x:v>لا علاقة للتنوع والمياه باتزان النظام</x:v>
      </x:c>
      <x:c r="O15" s="20" t="str">
        <x:v>ب</x:v>
      </x:c>
      <x:c r="P15" s="20" t="str">
        <x:v>توافر المياه النظيفة وثبات التربة والتنوع الحيوي من مؤشرات النظام البيئي المتوازن.</x:v>
      </x:c>
      <x:c r="Q15" s="18" t="str">
        <x:v>جدول</x:v>
      </x:c>
      <x:c r="R15" s="18" t="str">
        <x:v>جدول مقارنة بين منطقتين في: جودة الماء، انجراف التربة، التنوع الحيوي</x:v>
      </x:c>
      <x:c r="S15" s="18" t="str">
        <x:v>دفعة أولى – محاكي أصلي مبني على ناتج تعلم رسمي</x:v>
      </x:c>
      <x:c r="T15" s="18" t="str">
        <x:v>https://media.etec.gov.sa/media/sszdnh2h/%D9%86%D9%88%D8%A7%D8%AA%D8%AC-%D8%A7%D9%84%D8%AA%D8%B9%D9%84%D9%85-2026.pdf</x:v>
      </x:c>
      <x:c r="U15" t="str">
        <x:v>هيئة تقويم التعليم والتدريب – نواتج التعلم (صياغة أصلية)</x:v>
      </x:c>
    </x:row>
    <x:row r="16" ht="54" customHeight="1">
      <x:c r="A16" s="18" t="str">
        <x:v>BIO015</x:v>
      </x:c>
      <x:c r="B16" s="18" t="str">
        <x:v>أحياء</x:v>
      </x:c>
      <x:c r="C16" s="18" t="str">
        <x:v>علوم الحياة</x:v>
      </x:c>
      <x:c r="D16" s="18" t="str">
        <x:v>الأنظمة البيئية وتفاعلاتها</x:v>
      </x:c>
      <x:c r="E16" s="18" t="str">
        <x:v>6-3-1-5-9</x:v>
      </x:c>
      <x:c r="F16" s="18" t="str">
        <x:v>الكتلة الحيوية والوقود الحيوي</x:v>
      </x:c>
      <x:c r="G16" s="18" t="str">
        <x:v>تطبيق</x:v>
      </x:c>
      <x:c r="H16" s="18" t="str">
        <x:v>متوسط</x:v>
      </x:c>
      <x:c r="I16" s="18" t="str">
        <x:v>اختيار من متعدد</x:v>
      </x:c>
      <x:c r="J16" s="20" t="str">
        <x:v>أي خيار يمثل استخدامًا للكتلة الحيوية في إنتاج الطاقة؟</x:v>
      </x:c>
      <x:c r="K16" s="20" t="str">
        <x:v>حرق بقايا نباتية معالجة لإنتاج وقود حيوي</x:v>
      </x:c>
      <x:c r="L16" s="20" t="str">
        <x:v>استخراج اليورانيوم</x:v>
      </x:c>
      <x:c r="M16" s="20" t="str">
        <x:v>تشغيل توربين بمياه السد فقط</x:v>
      </x:c>
      <x:c r="N16" s="20" t="str">
        <x:v>استخدام بطارية جافة</x:v>
      </x:c>
      <x:c r="O16" s="20" t="str">
        <x:v>أ</x:v>
      </x:c>
      <x:c r="P16" s="20" t="str">
        <x:v>الكتلة الحيوية تشمل مواد عضوية نباتية أو حيوانية يمكن تحويلها إلى وقود حيوي.</x:v>
      </x:c>
      <x:c r="Q16" s="18" t="str">
        <x:v>نصي</x:v>
      </x:c>
      <x:c r="R16" s="18"/>
      <x:c r="S16" s="18" t="str">
        <x:v>دفعة أولى – محاكي أصلي مبني على ناتج تعلم رسمي</x:v>
      </x:c>
      <x:c r="T16" s="18" t="str">
        <x:v>https://media.etec.gov.sa/media/sszdnh2h/%D9%86%D9%88%D8%A7%D8%AA%D8%AC-%D8%A7%D9%84%D8%AA%D8%B9%D9%84%D9%85-2026.pdf</x:v>
      </x:c>
      <x:c r="U16" t="str">
        <x:v>هيئة تقويم التعليم والتدريب – نواتج التعلم (صياغة أصلية)</x:v>
      </x:c>
    </x:row>
    <x:row r="17" ht="54" customHeight="1">
      <x:c r="A17" s="18" t="str">
        <x:v>BIO016</x:v>
      </x:c>
      <x:c r="B17" s="18" t="str">
        <x:v>أحياء</x:v>
      </x:c>
      <x:c r="C17" s="18" t="str">
        <x:v>علوم الحياة</x:v>
      </x:c>
      <x:c r="D17" s="18" t="str">
        <x:v>الوراثة</x:v>
      </x:c>
      <x:c r="E17" s="18" t="str">
        <x:v>1-4-1-5-9</x:v>
      </x:c>
      <x:c r="F17" s="18" t="str">
        <x:v>تطبيق قوانين مندل باستخدام مربع بانيت</x:v>
      </x:c>
      <x:c r="G17" s="18" t="str">
        <x:v>تطبيق</x:v>
      </x:c>
      <x:c r="H17" s="18" t="str">
        <x:v>متوسط</x:v>
      </x:c>
      <x:c r="I17" s="18" t="str">
        <x:v>اختيار من متعدد</x:v>
      </x:c>
      <x:c r="J17" s="20" t="str">
        <x:v>صفة لون البذور الصفراء (Y) سائدة على الخضراء (y). عند تهجين نبات Yy مع نبات yy، ما احتمال ظهور بذور خضراء؟</x:v>
      </x:c>
      <x:c r="K17" s="20" t="str">
        <x:v>0%</x:v>
      </x:c>
      <x:c r="L17" s="20" t="str">
        <x:v>25%</x:v>
      </x:c>
      <x:c r="M17" s="20" t="str">
        <x:v>50%</x:v>
      </x:c>
      <x:c r="N17" s="20" t="str">
        <x:v>100%</x:v>
      </x:c>
      <x:c r="O17" s="20" t="str">
        <x:v>ج</x:v>
      </x:c>
      <x:c r="P17" s="20" t="str">
        <x:v>الأمشاج من Yy هي Y وy، ومن yy هي y فقط؛ نصف النسل Yy ونصفه yy.</x:v>
      </x:c>
      <x:c r="Q17" s="18" t="str">
        <x:v>نصي</x:v>
      </x:c>
      <x:c r="R17" s="18"/>
      <x:c r="S17" s="18" t="str">
        <x:v>دفعة أولى – محاكي أصلي مبني على ناتج تعلم رسمي</x:v>
      </x:c>
      <x:c r="T17" s="18" t="str">
        <x:v>https://media.etec.gov.sa/media/sszdnh2h/%D9%86%D9%88%D8%A7%D8%AA%D8%AC-%D8%A7%D9%84%D8%AA%D8%B9%D9%84%D9%85-2026.pdf</x:v>
      </x:c>
      <x:c r="U17" t="str">
        <x:v>هيئة تقويم التعليم والتدريب – نواتج التعلم (صياغة أصلية)</x:v>
      </x:c>
    </x:row>
    <x:row r="18" ht="54" customHeight="1">
      <x:c r="A18" s="18" t="str">
        <x:v>BIO017</x:v>
      </x:c>
      <x:c r="B18" s="18" t="str">
        <x:v>أحياء</x:v>
      </x:c>
      <x:c r="C18" s="18" t="str">
        <x:v>علوم الحياة</x:v>
      </x:c>
      <x:c r="D18" s="18" t="str">
        <x:v>الوراثة</x:v>
      </x:c>
      <x:c r="E18" s="18" t="str">
        <x:v>1-4-1-5-9</x:v>
      </x:c>
      <x:c r="F18" s="18" t="str">
        <x:v>تمييز متماثل الجينات وغير متماثلها</x:v>
      </x:c>
      <x:c r="G18" s="18" t="str">
        <x:v>معرفة</x:v>
      </x:c>
      <x:c r="H18" s="18" t="str">
        <x:v>سهل</x:v>
      </x:c>
      <x:c r="I18" s="18" t="str">
        <x:v>اختيار من متعدد</x:v>
      </x:c>
      <x:c r="J18" s="20" t="str">
        <x:v>أي تركيب جيني يمثل فردًا غير متماثل الجينات لصفة ما؟</x:v>
      </x:c>
      <x:c r="K18" s="20" t="str">
        <x:v>AA</x:v>
      </x:c>
      <x:c r="L18" s="20" t="str">
        <x:v>aa</x:v>
      </x:c>
      <x:c r="M18" s="20" t="str">
        <x:v>Aa</x:v>
      </x:c>
      <x:c r="N18" s="20" t="str">
        <x:v>XX</x:v>
      </x:c>
      <x:c r="O18" s="20" t="str">
        <x:v>ج</x:v>
      </x:c>
      <x:c r="P18" s="20" t="str">
        <x:v>غير متماثل الجينات يعني وجود أليلين مختلفين للصفة.</x:v>
      </x:c>
      <x:c r="Q18" s="18" t="str">
        <x:v>نصي</x:v>
      </x:c>
      <x:c r="R18" s="18"/>
      <x:c r="S18" s="18" t="str">
        <x:v>دفعة أولى – محاكي أصلي مبني على ناتج تعلم رسمي</x:v>
      </x:c>
      <x:c r="T18" s="18" t="str">
        <x:v>https://media.etec.gov.sa/media/sszdnh2h/%D9%86%D9%88%D8%A7%D8%AA%D8%AC-%D8%A7%D9%84%D8%AA%D8%B9%D9%84%D9%85-2026.pdf</x:v>
      </x:c>
      <x:c r="U18" t="str">
        <x:v>هيئة تقويم التعليم والتدريب – نواتج التعلم (صياغة أصلية)</x:v>
      </x:c>
    </x:row>
    <x:row r="19" ht="54" customHeight="1">
      <x:c r="A19" s="18" t="str">
        <x:v>BIO018</x:v>
      </x:c>
      <x:c r="B19" s="18" t="str">
        <x:v>أحياء</x:v>
      </x:c>
      <x:c r="C19" s="18" t="str">
        <x:v>علوم الحياة</x:v>
      </x:c>
      <x:c r="D19" s="18" t="str">
        <x:v>الوراثة</x:v>
      </x:c>
      <x:c r="E19" s="18" t="str">
        <x:v>2-4-1-5-9</x:v>
      </x:c>
      <x:c r="F19" s="18" t="str">
        <x:v>العلاقة بين DNA والجينات والكروموسومات</x:v>
      </x:c>
      <x:c r="G19" s="18" t="str">
        <x:v>تطبيق</x:v>
      </x:c>
      <x:c r="H19" s="18" t="str">
        <x:v>متوسط</x:v>
      </x:c>
      <x:c r="I19" s="18" t="str">
        <x:v>اختيار من متعدد</x:v>
      </x:c>
      <x:c r="J19" s="20" t="str">
        <x:v>أي ترتيب يوضح العلاقة الصحيحة بين الجين وDNA والكروموسوم؟</x:v>
      </x:c>
      <x:c r="K19" s="20" t="str">
        <x:v>الجين جزء من DNA الموجود ضمن الكروموسوم</x:v>
      </x:c>
      <x:c r="L19" s="20" t="str">
        <x:v>الكروموسوم جزء من الجين</x:v>
      </x:c>
      <x:c r="M19" s="20" t="str">
        <x:v>DNA يوجد فقط خارج الكروموسوم</x:v>
      </x:c>
      <x:c r="N19" s="20" t="str">
        <x:v>الجين لا يرتبط بالمادة الوراثية</x:v>
      </x:c>
      <x:c r="O19" s="20" t="str">
        <x:v>أ</x:v>
      </x:c>
      <x:c r="P19" s="20" t="str">
        <x:v>الجين مقطع من DNA، وDNA مع البروتينات يكوّن الكروموسومات.</x:v>
      </x:c>
      <x:c r="Q19" s="18" t="str">
        <x:v>نصي</x:v>
      </x:c>
      <x:c r="R19" s="18"/>
      <x:c r="S19" s="18" t="str">
        <x:v>دفعة أولى – محاكي أصلي مبني على ناتج تعلم رسمي</x:v>
      </x:c>
      <x:c r="T19" s="18" t="str">
        <x:v>https://media.etec.gov.sa/media/sszdnh2h/%D9%86%D9%88%D8%A7%D8%AA%D8%AC-%D8%A7%D9%84%D8%AA%D8%B9%D9%84%D9%85-2026.pdf</x:v>
      </x:c>
      <x:c r="U19" t="str">
        <x:v>هيئة تقويم التعليم والتدريب – نواتج التعلم (صياغة أصلية)</x:v>
      </x:c>
    </x:row>
    <x:row r="20" ht="54" customHeight="1">
      <x:c r="A20" s="18" t="str">
        <x:v>BIO019</x:v>
      </x:c>
      <x:c r="B20" s="18" t="str">
        <x:v>أحياء</x:v>
      </x:c>
      <x:c r="C20" s="18" t="str">
        <x:v>علوم الحياة</x:v>
      </x:c>
      <x:c r="D20" s="18" t="str">
        <x:v>الوراثة</x:v>
      </x:c>
      <x:c r="E20" s="18" t="str">
        <x:v>2-4-1-5-9</x:v>
      </x:c>
      <x:c r="F20" s="18" t="str">
        <x:v>المقارنة بين DNA وRNA</x:v>
      </x:c>
      <x:c r="G20" s="18" t="str">
        <x:v>تطبيق</x:v>
      </x:c>
      <x:c r="H20" s="18" t="str">
        <x:v>متوسط</x:v>
      </x:c>
      <x:c r="I20" s="18" t="str">
        <x:v>اختيار من متعدد</x:v>
      </x:c>
      <x:c r="J20" s="20" t="str">
        <x:v>أي عبارة تميز RNA عن DNA غالبًا؟</x:v>
      </x:c>
      <x:c r="K20" s="20" t="str">
        <x:v>RNA يكون عادة أحادي السلسلة ويشارك في تصنيع البروتين</x:v>
      </x:c>
      <x:c r="L20" s="20" t="str">
        <x:v>RNA يحمل دائمًا المعلومات الوراثية في نواة الخلية فقط</x:v>
      </x:c>
      <x:c r="M20" s="20" t="str">
        <x:v>DNA يتكون من سكر ريبوز</x:v>
      </x:c>
      <x:c r="N20" s="20" t="str">
        <x:v>DNA لا يحتوي قواعد نيتروجينية</x:v>
      </x:c>
      <x:c r="O20" s="20" t="str">
        <x:v>أ</x:v>
      </x:c>
      <x:c r="P20" s="20" t="str">
        <x:v>RNA غالبًا أحادي السلسلة وله أدوار مباشرة في تصنيع البروتين، بينما DNA غالبًا مزدوج السلسلة.</x:v>
      </x:c>
      <x:c r="Q20" s="18" t="str">
        <x:v>نصي</x:v>
      </x:c>
      <x:c r="R20" s="18"/>
      <x:c r="S20" s="18" t="str">
        <x:v>دفعة أولى – محاكي أصلي مبني على ناتج تعلم رسمي</x:v>
      </x:c>
      <x:c r="T20" s="18" t="str">
        <x:v>https://media.etec.gov.sa/media/sszdnh2h/%D9%86%D9%88%D8%A7%D8%AA%D8%AC-%D8%A7%D9%84%D8%AA%D8%B9%D9%84%D9%85-2026.pdf</x:v>
      </x:c>
      <x:c r="U20" t="str">
        <x:v>هيئة تقويم التعليم والتدريب – نواتج التعلم (صياغة أصلية)</x:v>
      </x:c>
    </x:row>
    <x:row r="21" ht="54" customHeight="1">
      <x:c r="A21" s="18" t="str">
        <x:v>BIO020</x:v>
      </x:c>
      <x:c r="B21" s="18" t="str">
        <x:v>أحياء</x:v>
      </x:c>
      <x:c r="C21" s="18" t="str">
        <x:v>علوم الحياة</x:v>
      </x:c>
      <x:c r="D21" s="18" t="str">
        <x:v>الوراثة</x:v>
      </x:c>
      <x:c r="E21" s="18" t="str">
        <x:v>2-4-1-5-9</x:v>
      </x:c>
      <x:c r="F21" s="18" t="str">
        <x:v>التمييز بين الخلايا الثنائية والأحادية المجموعة الكروموسومية</x:v>
      </x:c>
      <x:c r="G21" s="18" t="str">
        <x:v>تطبيق</x:v>
      </x:c>
      <x:c r="H21" s="18" t="str">
        <x:v>متوسط</x:v>
      </x:c>
      <x:c r="I21" s="18" t="str">
        <x:v>اختيار من متعدد</x:v>
      </x:c>
      <x:c r="J21" s="20" t="str">
        <x:v>إذا كان عدد الكروموسومات في خلية جسمية لنوع ما 24 كروموسومًا، فكم يكون في المشيج؟</x:v>
      </x:c>
      <x:c r="K21" s="20" t="str">
        <x:v>6</x:v>
      </x:c>
      <x:c r="L21" s="20" t="str">
        <x:v>12</x:v>
      </x:c>
      <x:c r="M21" s="20" t="str">
        <x:v>24</x:v>
      </x:c>
      <x:c r="N21" s="20" t="str">
        <x:v>48</x:v>
      </x:c>
      <x:c r="O21" s="20" t="str">
        <x:v>ب</x:v>
      </x:c>
      <x:c r="P21" s="20" t="str">
        <x:v>الأمشاج أحادية المجموعة الكروموسومية وتحمل نصف العدد الموجود في الخلايا الجسمية.</x:v>
      </x:c>
      <x:c r="Q21" s="18" t="str">
        <x:v>نصي</x:v>
      </x:c>
      <x:c r="R21" s="18"/>
      <x:c r="S21" s="18" t="str">
        <x:v>دفعة أولى – محاكي أصلي مبني على ناتج تعلم رسمي</x:v>
      </x:c>
      <x:c r="T21" s="18" t="str">
        <x:v>https://media.etec.gov.sa/media/sszdnh2h/%D9%86%D9%88%D8%A7%D8%AA%D8%AC-%D8%A7%D9%84%D8%AA%D8%B9%D9%84%D9%85-2026.pdf</x:v>
      </x:c>
      <x:c r="U21" t="str">
        <x:v>هيئة تقويم التعليم والتدريب – نواتج التعلم (صياغة أصلية)</x:v>
      </x:c>
    </x:row>
    <x:row r="22" ht="54" customHeight="1">
      <x:c r="A22" s="18" t="str">
        <x:v>BIO021</x:v>
      </x:c>
      <x:c r="B22" s="18" t="str">
        <x:v>أحياء</x:v>
      </x:c>
      <x:c r="C22" s="18" t="str">
        <x:v>علوم الحياة</x:v>
      </x:c>
      <x:c r="D22" s="18" t="str">
        <x:v>التركيب والوظيفة في المخلوقات الحية</x:v>
      </x:c>
      <x:c r="E22" s="18" t="str">
        <x:v>1-1-1-5-9</x:v>
      </x:c>
      <x:c r="F22" s="18" t="str">
        <x:v>وظيفة الغشاء البلازمي</x:v>
      </x:c>
      <x:c r="G22" s="18" t="str">
        <x:v>تطبيق</x:v>
      </x:c>
      <x:c r="H22" s="18" t="str">
        <x:v>متوسط</x:v>
      </x:c>
      <x:c r="I22" s="18" t="str">
        <x:v>اختيار من متعدد</x:v>
      </x:c>
      <x:c r="J22" s="20" t="str">
        <x:v>وُضعت خلية في محلول يحتوي جزيئات كبيرة لا تستطيع عبور الغشاء، بينما عبر الماء وبعض الجزيئات الصغيرة. ما الخاصية التي يوضحها ذلك؟</x:v>
      </x:c>
      <x:c r="K22" s="20" t="str">
        <x:v>النفاذية الاختيارية</x:v>
      </x:c>
      <x:c r="L22" s="20" t="str">
        <x:v>التكاثر</x:v>
      </x:c>
      <x:c r="M22" s="20" t="str">
        <x:v>الانقسام المنصف</x:v>
      </x:c>
      <x:c r="N22" s="20" t="str">
        <x:v>إنتاج الطاقة</x:v>
      </x:c>
      <x:c r="O22" s="20" t="str">
        <x:v>أ</x:v>
      </x:c>
      <x:c r="P22" s="20" t="str">
        <x:v>يسمح الغشاء البلازمي بمرور بعض المواد ويمنع أخرى، لذلك يوصف بأنه اختياري النفاذية.</x:v>
      </x:c>
      <x:c r="Q22" s="18" t="str">
        <x:v>نصي</x:v>
      </x:c>
      <x:c r="R22" s="18"/>
      <x:c r="S22" s="18" t="str">
        <x:v>محاكي أصلي مستلهم من نمط نافس ومبني على ناتج تعلم رسمي</x:v>
      </x:c>
      <x:c r="T22" s="18" t="str">
        <x:v>https://media.etec.gov.sa/media/sszdnh2h/%D9%86%D9%88%D8%A7%D8%AA%D8%AC-%D8%A7%D9%84%D8%AA%D8%B9%D9%84%D9%85-2026.pdf</x:v>
      </x:c>
      <x:c r="U22" t="str">
        <x:v>هيئة تقويم التعليم والتدريب – نواتج التعلم (صياغة أصلية)</x:v>
      </x:c>
    </x:row>
    <x:row r="23" ht="54" customHeight="1">
      <x:c r="A23" s="18" t="str">
        <x:v>BIO022</x:v>
      </x:c>
      <x:c r="B23" s="18" t="str">
        <x:v>أحياء</x:v>
      </x:c>
      <x:c r="C23" s="18" t="str">
        <x:v>علوم الحياة</x:v>
      </x:c>
      <x:c r="D23" s="18" t="str">
        <x:v>التركيب والوظيفة في المخلوقات الحية</x:v>
      </x:c>
      <x:c r="E23" s="18" t="str">
        <x:v>1-1-1-5-9</x:v>
      </x:c>
      <x:c r="F23" s="18" t="str">
        <x:v>تفسير الخاصية الأسموزية</x:v>
      </x:c>
      <x:c r="G23" s="18" t="str">
        <x:v>استدلال</x:v>
      </x:c>
      <x:c r="H23" s="18" t="str">
        <x:v>متوسط</x:v>
      </x:c>
      <x:c r="I23" s="18" t="str">
        <x:v>اختيار من متعدد</x:v>
      </x:c>
      <x:c r="J23" s="20" t="str">
        <x:v>انخفضت كتلة شرائح بطاطس بعد وضعها في محلول ملحي مركز لمدة ساعة. ما التفسير الأفضل؟</x:v>
      </x:c>
      <x:c r="K23" s="20" t="str">
        <x:v>دخل الماء إلى الخلايا</x:v>
      </x:c>
      <x:c r="L23" s="20" t="str">
        <x:v>خرج الماء من الخلايا بالخاصية الأسموزية</x:v>
      </x:c>
      <x:c r="M23" s="20" t="str">
        <x:v>دخل الملح فقط دون حركة ماء</x:v>
      </x:c>
      <x:c r="N23" s="20" t="str">
        <x:v>توقفت الخلايا عن التنفس</x:v>
      </x:c>
      <x:c r="O23" s="20" t="str">
        <x:v>ب</x:v>
      </x:c>
      <x:c r="P23" s="20" t="str">
        <x:v>المحلول الأعلى تركيزًا خارج الخلايا يسحب الماء منها بالخاصية الأسموزية.</x:v>
      </x:c>
      <x:c r="Q23" s="18" t="str">
        <x:v>نصي</x:v>
      </x:c>
      <x:c r="R23" s="18"/>
      <x:c r="S23" s="18" t="str">
        <x:v>محاكي أصلي مستلهم من نمط نافس ومبني على ناتج تعلم رسمي</x:v>
      </x:c>
      <x:c r="T23" s="18" t="str">
        <x:v>https://media.etec.gov.sa/media/sszdnh2h/%D9%86%D9%88%D8%A7%D8%AA%D8%AC-%D8%A7%D9%84%D8%AA%D8%B9%D9%84%D9%85-2026.pdf</x:v>
      </x:c>
      <x:c r="U23" t="str">
        <x:v>هيئة تقويم التعليم والتدريب – نواتج التعلم (صياغة أصلية)</x:v>
      </x:c>
    </x:row>
    <x:row r="24" ht="54" customHeight="1">
      <x:c r="A24" s="18" t="str">
        <x:v>BIO023</x:v>
      </x:c>
      <x:c r="B24" s="18" t="str">
        <x:v>أحياء</x:v>
      </x:c>
      <x:c r="C24" s="18" t="str">
        <x:v>علوم الحياة</x:v>
      </x:c>
      <x:c r="D24" s="18" t="str">
        <x:v>التركيب والوظيفة في المخلوقات الحية</x:v>
      </x:c>
      <x:c r="E24" s="18" t="str">
        <x:v>1-1-1-5-9</x:v>
      </x:c>
      <x:c r="F24" s="18" t="str">
        <x:v>تفسير الانتشار</x:v>
      </x:c>
      <x:c r="G24" s="18" t="str">
        <x:v>تطبيق</x:v>
      </x:c>
      <x:c r="H24" s="18" t="str">
        <x:v>سهل</x:v>
      </x:c>
      <x:c r="I24" s="18" t="str">
        <x:v>اختيار من متعدد</x:v>
      </x:c>
      <x:c r="J24" s="20" t="str">
        <x:v>انتشرت رائحة عطر في أنحاء غرفة بعد رش كمية صغيرة منه. أي عملية تفسر ذلك؟</x:v>
      </x:c>
      <x:c r="K24" s="20" t="str">
        <x:v>الانتشار</x:v>
      </x:c>
      <x:c r="L24" s="20" t="str">
        <x:v>الانقسام</x:v>
      </x:c>
      <x:c r="M24" s="20" t="str">
        <x:v>البلعمة</x:v>
      </x:c>
      <x:c r="N24" s="20" t="str">
        <x:v>البناء الضوئي</x:v>
      </x:c>
      <x:c r="O24" s="20" t="str">
        <x:v>أ</x:v>
      </x:c>
      <x:c r="P24" s="20" t="str">
        <x:v>تتحرك الجزيئات من منطقة التركيز الأعلى إلى الأقل حتى تنتشر في الحيز.</x:v>
      </x:c>
      <x:c r="Q24" s="18" t="str">
        <x:v>نصي</x:v>
      </x:c>
      <x:c r="R24" s="18"/>
      <x:c r="S24" s="18" t="str">
        <x:v>محاكي أصلي مستلهم من نمط نافس ومبني على ناتج تعلم رسمي</x:v>
      </x:c>
      <x:c r="T24" s="18" t="str">
        <x:v>https://media.etec.gov.sa/media/sszdnh2h/%D9%86%D9%88%D8%A7%D8%AA%D8%AC-%D8%A7%D9%84%D8%AA%D8%B9%D9%84%D9%85-2026.pdf</x:v>
      </x:c>
      <x:c r="U24" t="str">
        <x:v>هيئة تقويم التعليم والتدريب – نواتج التعلم (صياغة أصلية)</x:v>
      </x:c>
    </x:row>
    <x:row r="25" ht="54" customHeight="1">
      <x:c r="A25" s="18" t="str">
        <x:v>BIO024</x:v>
      </x:c>
      <x:c r="B25" s="18" t="str">
        <x:v>أحياء</x:v>
      </x:c>
      <x:c r="C25" s="18" t="str">
        <x:v>علوم الحياة</x:v>
      </x:c>
      <x:c r="D25" s="18" t="str">
        <x:v>التركيب والوظيفة في المخلوقات الحية</x:v>
      </x:c>
      <x:c r="E25" s="18" t="str">
        <x:v>1-1-1-5-9</x:v>
      </x:c>
      <x:c r="F25" s="18" t="str">
        <x:v>المقارنة بين الخلية النباتية والحيوانية</x:v>
      </x:c>
      <x:c r="G25" s="18" t="str">
        <x:v>معرفة</x:v>
      </x:c>
      <x:c r="H25" s="18" t="str">
        <x:v>سهل</x:v>
      </x:c>
      <x:c r="I25" s="18" t="str">
        <x:v>اختيار من متعدد</x:v>
      </x:c>
      <x:c r="J25" s="20" t="str">
        <x:v>أي تركيب يوجد في الخلية النباتية ولا يوجد عادة في الخلية الحيوانية؟</x:v>
      </x:c>
      <x:c r="K25" s="20" t="str">
        <x:v>الميتوكوندريا</x:v>
      </x:c>
      <x:c r="L25" s="20" t="str">
        <x:v>الغشاء البلازمي</x:v>
      </x:c>
      <x:c r="M25" s="20" t="str">
        <x:v>الجدار الخلوي</x:v>
      </x:c>
      <x:c r="N25" s="20" t="str">
        <x:v>السيتوبلازم</x:v>
      </x:c>
      <x:c r="O25" s="20" t="str">
        <x:v>ج</x:v>
      </x:c>
      <x:c r="P25" s="20" t="str">
        <x:v>الجدار الخلوي من التراكيب المميزة للخلية النباتية.</x:v>
      </x:c>
      <x:c r="Q25" s="18" t="str">
        <x:v>صورة</x:v>
      </x:c>
      <x:c r="R25" s="18" t="str">
        <x:v>رسم خليتين نباتية وحيوانية مع أسهم لتركيبات مختارة</x:v>
      </x:c>
      <x:c r="S25" s="18" t="str">
        <x:v>محاكي أصلي مستلهم من نمط نافس ومبني على ناتج تعلم رسمي</x:v>
      </x:c>
      <x:c r="T25" s="18" t="str">
        <x:v>https://media.etec.gov.sa/media/sszdnh2h/%D9%86%D9%88%D8%A7%D8%AA%D8%AC-%D8%A7%D9%84%D8%AA%D8%B9%D9%84%D9%85-2026.pdf</x:v>
      </x:c>
      <x:c r="U25" t="str">
        <x:v>هيئة تقويم التعليم والتدريب – نواتج التعلم (صياغة أصلية)</x:v>
      </x:c>
    </x:row>
    <x:row r="26" ht="54" customHeight="1">
      <x:c r="A26" s="18" t="str">
        <x:v>BIO025</x:v>
      </x:c>
      <x:c r="B26" s="18" t="str">
        <x:v>أحياء</x:v>
      </x:c>
      <x:c r="C26" s="18" t="str">
        <x:v>علوم الحياة</x:v>
      </x:c>
      <x:c r="D26" s="18" t="str">
        <x:v>التركيب والوظيفة في المخلوقات الحية</x:v>
      </x:c>
      <x:c r="E26" s="18" t="str">
        <x:v>1-1-1-5-9</x:v>
      </x:c>
      <x:c r="F26" s="18" t="str">
        <x:v>ربط البلاستيدات بالبناء الضوئي</x:v>
      </x:c>
      <x:c r="G26" s="18" t="str">
        <x:v>تطبيق</x:v>
      </x:c>
      <x:c r="H26" s="18" t="str">
        <x:v>متوسط</x:v>
      </x:c>
      <x:c r="I26" s="18" t="str">
        <x:v>اختيار من متعدد</x:v>
      </x:c>
      <x:c r="J26" s="20" t="str">
        <x:v>تعرض نبات لضوء كافٍ لكن خلايا أوراقه تفتقر إلى البلاستيدات الخضراء. أي عملية ستتأثر مباشرة؟</x:v>
      </x:c>
      <x:c r="K26" s="20" t="str">
        <x:v>البناء الضوئي</x:v>
      </x:c>
      <x:c r="L26" s="20" t="str">
        <x:v>الانقسام المتساوي فقط</x:v>
      </x:c>
      <x:c r="M26" s="20" t="str">
        <x:v>إخراج البول</x:v>
      </x:c>
      <x:c r="N26" s="20" t="str">
        <x:v>نقل السيالات العصبية</x:v>
      </x:c>
      <x:c r="O26" s="20" t="str">
        <x:v>أ</x:v>
      </x:c>
      <x:c r="P26" s="20" t="str">
        <x:v>البلاستيدات الخضراء تحتوي الكلوروفيل وتعد موقع البناء الضوئي.</x:v>
      </x:c>
      <x:c r="Q26" s="18" t="str">
        <x:v>نصي</x:v>
      </x:c>
      <x:c r="R26" s="18"/>
      <x:c r="S26" s="18" t="str">
        <x:v>محاكي أصلي مستلهم من نمط نافس ومبني على ناتج تعلم رسمي</x:v>
      </x:c>
      <x:c r="T26" s="18" t="str">
        <x:v>https://media.etec.gov.sa/media/sszdnh2h/%D9%86%D9%88%D8%A7%D8%AA%D8%AC-%D8%A7%D9%84%D8%AA%D8%B9%D9%84%D9%85-2026.pdf</x:v>
      </x:c>
      <x:c r="U26" t="str">
        <x:v>هيئة تقويم التعليم والتدريب – نواتج التعلم (صياغة أصلية)</x:v>
      </x:c>
    </x:row>
    <x:row r="27" ht="54" customHeight="1">
      <x:c r="A27" s="18" t="str">
        <x:v>BIO026</x:v>
      </x:c>
      <x:c r="B27" s="18" t="str">
        <x:v>أحياء</x:v>
      </x:c>
      <x:c r="C27" s="18" t="str">
        <x:v>علوم الحياة</x:v>
      </x:c>
      <x:c r="D27" s="18" t="str">
        <x:v>التركيب والوظيفة في المخلوقات الحية</x:v>
      </x:c>
      <x:c r="E27" s="18" t="str">
        <x:v>1-1-1-5-9</x:v>
      </x:c>
      <x:c r="F27" s="18" t="str">
        <x:v>التخصص الخلوي في المخلوقات متعددة الخلايا</x:v>
      </x:c>
      <x:c r="G27" s="18" t="str">
        <x:v>استدلال</x:v>
      </x:c>
      <x:c r="H27" s="18" t="str">
        <x:v>متوسط</x:v>
      </x:c>
      <x:c r="I27" s="18" t="str">
        <x:v>اختيار من متعدد</x:v>
      </x:c>
      <x:c r="J27" s="20" t="str">
        <x:v>لماذا تختلف الخلايا العصبية عن الخلايا العضلية في الشكل وبعض التراكيب رغم احتوائها المادة الوراثية نفسها؟</x:v>
      </x:c>
      <x:c r="K27" s="20" t="str">
        <x:v>لأن كل نوع متخصص لأداء وظيفة مختلفة</x:v>
      </x:c>
      <x:c r="L27" s="20" t="str">
        <x:v>لأن الخلايا العضلية لا تحتوي DNA</x:v>
      </x:c>
      <x:c r="M27" s="20" t="str">
        <x:v>لأن الخلايا العصبية وحيدة الخلية</x:v>
      </x:c>
      <x:c r="N27" s="20" t="str">
        <x:v>لأن شكل الخلية لا يرتبط بوظيفتها</x:v>
      </x:c>
      <x:c r="O27" s="20" t="str">
        <x:v>أ</x:v>
      </x:c>
      <x:c r="P27" s="20" t="str">
        <x:v>التخصص الخلوي يؤدي إلى اختلافات تركيبية تناسب الوظائف المختلفة.</x:v>
      </x:c>
      <x:c r="Q27" s="18" t="str">
        <x:v>نصي</x:v>
      </x:c>
      <x:c r="R27" s="18"/>
      <x:c r="S27" s="18" t="str">
        <x:v>محاكي أصلي مستلهم من نمط نافس ومبني على ناتج تعلم رسمي</x:v>
      </x:c>
      <x:c r="T27" s="18" t="str">
        <x:v>https://media.etec.gov.sa/media/sszdnh2h/%D9%86%D9%88%D8%A7%D8%AA%D8%AC-%D8%A7%D9%84%D8%AA%D8%B9%D9%84%D9%85-2026.pdf</x:v>
      </x:c>
      <x:c r="U27" t="str">
        <x:v>هيئة تقويم التعليم والتدريب – نواتج التعلم (صياغة أصلية)</x:v>
      </x:c>
    </x:row>
    <x:row r="28" ht="54" customHeight="1">
      <x:c r="A28" s="18" t="str">
        <x:v>BIO027</x:v>
      </x:c>
      <x:c r="B28" s="18" t="str">
        <x:v>أحياء</x:v>
      </x:c>
      <x:c r="C28" s="18" t="str">
        <x:v>علوم الحياة</x:v>
      </x:c>
      <x:c r="D28" s="18" t="str">
        <x:v>التركيب والوظيفة في المخلوقات الحية</x:v>
      </x:c>
      <x:c r="E28" s="18" t="str">
        <x:v>1-1-1-5-9</x:v>
      </x:c>
      <x:c r="F28" s="18" t="str">
        <x:v>مستويات التنظيم</x:v>
      </x:c>
      <x:c r="G28" s="18" t="str">
        <x:v>معرفة</x:v>
      </x:c>
      <x:c r="H28" s="18" t="str">
        <x:v>سهل</x:v>
      </x:c>
      <x:c r="I28" s="18" t="str">
        <x:v>اختيار من متعدد</x:v>
      </x:c>
      <x:c r="J28" s="20" t="str">
        <x:v>أي ترتيب صحيح لمستويات التنظيم في جسم الإنسان من الأبسط إلى الأكثر تعقيدًا؟</x:v>
      </x:c>
      <x:c r="K28" s="20" t="str">
        <x:v>عضو ← نسيج ← خلية ← جهاز</x:v>
      </x:c>
      <x:c r="L28" s="20" t="str">
        <x:v>خلية ← نسيج ← عضو ← جهاز</x:v>
      </x:c>
      <x:c r="M28" s="20" t="str">
        <x:v>نسيج ← خلية ← جهاز ← عضو</x:v>
      </x:c>
      <x:c r="N28" s="20" t="str">
        <x:v>جهاز ← عضو ← نسيج ← خلية</x:v>
      </x:c>
      <x:c r="O28" s="20" t="str">
        <x:v>ب</x:v>
      </x:c>
      <x:c r="P28" s="20" t="str">
        <x:v>الخلايا تتجمع لتكون أنسجة، والأنسجة أعضاء، والأعضاء أجهزة.</x:v>
      </x:c>
      <x:c r="Q28" s="18" t="str">
        <x:v>نصي</x:v>
      </x:c>
      <x:c r="R28" s="18"/>
      <x:c r="S28" s="18" t="str">
        <x:v>محاكي أصلي مستلهم من نمط نافس ومبني على ناتج تعلم رسمي</x:v>
      </x:c>
      <x:c r="T28" s="18" t="str">
        <x:v>https://media.etec.gov.sa/media/sszdnh2h/%D9%86%D9%88%D8%A7%D8%AA%D8%AC-%D8%A7%D9%84%D8%AA%D8%B9%D9%84%D9%85-2026.pdf</x:v>
      </x:c>
      <x:c r="U28" t="str">
        <x:v>هيئة تقويم التعليم والتدريب – نواتج التعلم (صياغة أصلية)</x:v>
      </x:c>
    </x:row>
    <x:row r="29" ht="54" customHeight="1">
      <x:c r="A29" s="18" t="str">
        <x:v>BIO028</x:v>
      </x:c>
      <x:c r="B29" s="18" t="str">
        <x:v>أحياء</x:v>
      </x:c>
      <x:c r="C29" s="18" t="str">
        <x:v>علوم الحياة</x:v>
      </x:c>
      <x:c r="D29" s="18" t="str">
        <x:v>دورة الخلية والانقسام</x:v>
      </x:c>
      <x:c r="E29" s="18" t="str">
        <x:v>2-1-1-5-9</x:v>
      </x:c>
      <x:c r="F29" s="18" t="str">
        <x:v>دور الانقسام المتساوي في النمو والتعويض</x:v>
      </x:c>
      <x:c r="G29" s="18" t="str">
        <x:v>تطبيق</x:v>
      </x:c>
      <x:c r="H29" s="18" t="str">
        <x:v>متوسط</x:v>
      </x:c>
      <x:c r="I29" s="18" t="str">
        <x:v>اختيار من متعدد</x:v>
      </x:c>
      <x:c r="J29" s="20" t="str">
        <x:v>التئام جرح صغير في الجلد يعتمد بصورة مباشرة على زيادة عدد الخلايا. أي عملية تسهم في ذلك؟</x:v>
      </x:c>
      <x:c r="K29" s="20" t="str">
        <x:v>الانقسام المتساوي</x:v>
      </x:c>
      <x:c r="L29" s="20" t="str">
        <x:v>الانقسام المنصف</x:v>
      </x:c>
      <x:c r="M29" s="20" t="str">
        <x:v>الإخصاب</x:v>
      </x:c>
      <x:c r="N29" s="20" t="str">
        <x:v>الانتشار</x:v>
      </x:c>
      <x:c r="O29" s="20" t="str">
        <x:v>أ</x:v>
      </x:c>
      <x:c r="P29" s="20" t="str">
        <x:v>الانقسام المتساوي ينتج خلايا جديدة للنمو وتعويض الخلايا التالفة.</x:v>
      </x:c>
      <x:c r="Q29" s="18" t="str">
        <x:v>رسم</x:v>
      </x:c>
      <x:c r="R29" s="18" t="str">
        <x:v>تسلسل مبسط لخلايا جلد تنقسم لتعويض نسيج متضرر</x:v>
      </x:c>
      <x:c r="S29" s="18" t="str">
        <x:v>محاكي أصلي مستلهم من نمط نافس ومبني على ناتج تعلم رسمي</x:v>
      </x:c>
      <x:c r="T29" s="18" t="str">
        <x:v>https://media.etec.gov.sa/media/sszdnh2h/%D9%86%D9%88%D8%A7%D8%AA%D8%AC-%D8%A7%D9%84%D8%AA%D8%B9%D9%84%D9%85-2026.pdf</x:v>
      </x:c>
      <x:c r="U29" t="str">
        <x:v>هيئة تقويم التعليم والتدريب – نواتج التعلم (صياغة أصلية)</x:v>
      </x:c>
    </x:row>
    <x:row r="30" ht="54" customHeight="1">
      <x:c r="A30" s="18" t="str">
        <x:v>BIO029</x:v>
      </x:c>
      <x:c r="B30" s="18" t="str">
        <x:v>أحياء</x:v>
      </x:c>
      <x:c r="C30" s="18" t="str">
        <x:v>علوم الحياة</x:v>
      </x:c>
      <x:c r="D30" s="18" t="str">
        <x:v>دورة الخلية والانقسام</x:v>
      </x:c>
      <x:c r="E30" s="18" t="str">
        <x:v>2-1-1-5-9</x:v>
      </x:c>
      <x:c r="F30" s="18" t="str">
        <x:v>أهمية الانقسام المنصف في التنوع</x:v>
      </x:c>
      <x:c r="G30" s="18" t="str">
        <x:v>استدلال</x:v>
      </x:c>
      <x:c r="H30" s="18" t="str">
        <x:v>صعب</x:v>
      </x:c>
      <x:c r="I30" s="18" t="str">
        <x:v>اختيار من متعدد</x:v>
      </x:c>
      <x:c r="J30" s="20" t="str">
        <x:v>أي نتيجة للانقسام المنصف تساعد أكثر على زيادة التنوع الوراثي بين أفراد النوع؟</x:v>
      </x:c>
      <x:c r="K30" s="20" t="str">
        <x:v>إنتاج خلايا مطابقة تمامًا</x:v>
      </x:c>
      <x:c r="L30" s="20" t="str">
        <x:v>تكوين أمشاج تحمل تراكيب وراثية مختلفة</x:v>
      </x:c>
      <x:c r="M30" s="20" t="str">
        <x:v>مضاعفة عدد الكروموسومات في الأمشاج</x:v>
      </x:c>
      <x:c r="N30" s="20" t="str">
        <x:v>منع حدوث الإخصاب</x:v>
      </x:c>
      <x:c r="O30" s="20" t="str">
        <x:v>ب</x:v>
      </x:c>
      <x:c r="P30" s="20" t="str">
        <x:v>الانقسام المنصف يكوّن أمشاجًا متنوعة وراثيًا، فيسهم في التنوع بين النسل.</x:v>
      </x:c>
      <x:c r="Q30" s="18" t="str">
        <x:v>نصي</x:v>
      </x:c>
      <x:c r="R30" s="18"/>
      <x:c r="S30" s="18" t="str">
        <x:v>محاكي أصلي مستلهم من نمط نافس ومبني على ناتج تعلم رسمي</x:v>
      </x:c>
      <x:c r="T30" s="18" t="str">
        <x:v>https://media.etec.gov.sa/media/sszdnh2h/%D9%86%D9%88%D8%A7%D8%AA%D8%AC-%D8%A7%D9%84%D8%AA%D8%B9%D9%84%D9%85-2026.pdf</x:v>
      </x:c>
      <x:c r="U30" t="str">
        <x:v>هيئة تقويم التعليم والتدريب – نواتج التعلم (صياغة أصلية)</x:v>
      </x:c>
    </x:row>
    <x:row r="31" ht="54" customHeight="1">
      <x:c r="A31" s="18" t="str">
        <x:v>BIO030</x:v>
      </x:c>
      <x:c r="B31" s="18" t="str">
        <x:v>أحياء</x:v>
      </x:c>
      <x:c r="C31" s="18" t="str">
        <x:v>علوم الحياة</x:v>
      </x:c>
      <x:c r="D31" s="18" t="str">
        <x:v>دورة الخلية والانقسام</x:v>
      </x:c>
      <x:c r="E31" s="18" t="str">
        <x:v>2-1-1-5-9</x:v>
      </x:c>
      <x:c r="F31" s="18" t="str">
        <x:v>حساب عدد الكروموسومات في الأمشاج</x:v>
      </x:c>
      <x:c r="G31" s="18" t="str">
        <x:v>تطبيق</x:v>
      </x:c>
      <x:c r="H31" s="18" t="str">
        <x:v>متوسط</x:v>
      </x:c>
      <x:c r="I31" s="18" t="str">
        <x:v>اختيار من متعدد</x:v>
      </x:c>
      <x:c r="J31" s="20" t="str">
        <x:v>إذا كان عدد الكروموسومات في خلايا جسم مخلوق 18 كروموسومًا، فكم كروموسومًا يوجد في المشيج الطبيعي؟</x:v>
      </x:c>
      <x:c r="K31" s="20" t="str">
        <x:v>9</x:v>
      </x:c>
      <x:c r="L31" s="20" t="str">
        <x:v>18</x:v>
      </x:c>
      <x:c r="M31" s="20" t="str">
        <x:v>27</x:v>
      </x:c>
      <x:c r="N31" s="20" t="str">
        <x:v>36</x:v>
      </x:c>
      <x:c r="O31" s="20" t="str">
        <x:v>أ</x:v>
      </x:c>
      <x:c r="P31" s="20" t="str">
        <x:v>الأمشاج تنتج بالانقسام المنصف وتحمل نصف العدد الموجود في الخلايا الجسمية.</x:v>
      </x:c>
      <x:c r="Q31" s="18" t="str">
        <x:v>نصي</x:v>
      </x:c>
      <x:c r="R31" s="18"/>
      <x:c r="S31" s="18" t="str">
        <x:v>محاكي أصلي مستلهم من نمط نافس ومبني على ناتج تعلم رسمي</x:v>
      </x:c>
      <x:c r="T31" s="18" t="str">
        <x:v>https://media.etec.gov.sa/media/sszdnh2h/%D9%86%D9%88%D8%A7%D8%AA%D8%AC-%D8%A7%D9%84%D8%AA%D8%B9%D9%84%D9%85-2026.pdf</x:v>
      </x:c>
      <x:c r="U31" t="str">
        <x:v>هيئة تقويم التعليم والتدريب – نواتج التعلم (صياغة أصلية)</x:v>
      </x:c>
    </x:row>
    <x:row r="32" ht="54" customHeight="1">
      <x:c r="A32" s="18" t="str">
        <x:v>BIO031</x:v>
      </x:c>
      <x:c r="B32" s="18" t="str">
        <x:v>أحياء</x:v>
      </x:c>
      <x:c r="C32" s="18" t="str">
        <x:v>علوم الحياة</x:v>
      </x:c>
      <x:c r="D32" s="18" t="str">
        <x:v>أجهزة جسم الإنسان</x:v>
      </x:c>
      <x:c r="E32" s="18" t="str">
        <x:v>3-1-1-5-9</x:v>
      </x:c>
      <x:c r="F32" s="18" t="str">
        <x:v>تكيف الأمعاء الدقيقة للامتصاص</x:v>
      </x:c>
      <x:c r="G32" s="18" t="str">
        <x:v>استدلال</x:v>
      </x:c>
      <x:c r="H32" s="18" t="str">
        <x:v>متوسط</x:v>
      </x:c>
      <x:c r="I32" s="18" t="str">
        <x:v>اختيار من متعدد</x:v>
      </x:c>
      <x:c r="J32" s="20" t="str">
        <x:v>تمتلك الأمعاء الدقيقة زغابات كثيرة على سطحها الداخلي. ما الفائدة الرئيسة لهذا التركيب؟</x:v>
      </x:c>
      <x:c r="K32" s="20" t="str">
        <x:v>تقليل مساحة السطح</x:v>
      </x:c>
      <x:c r="L32" s="20" t="str">
        <x:v>زيادة مساحة السطح لامتصاص المواد الغذائية</x:v>
      </x:c>
      <x:c r="M32" s="20" t="str">
        <x:v>إيقاف حركة الغذاء</x:v>
      </x:c>
      <x:c r="N32" s="20" t="str">
        <x:v>منع وصول الدم</x:v>
      </x:c>
      <x:c r="O32" s="20" t="str">
        <x:v>ب</x:v>
      </x:c>
      <x:c r="P32" s="20" t="str">
        <x:v>الزغابات تزيد مساحة السطح المتاحة لامتصاص المغذيات.</x:v>
      </x:c>
      <x:c r="Q32" s="18" t="str">
        <x:v>صورة</x:v>
      </x:c>
      <x:c r="R32" s="18" t="str">
        <x:v>مقطع مبسط في الأمعاء الدقيقة يوضح الزغابات</x:v>
      </x:c>
      <x:c r="S32" s="18" t="str">
        <x:v>محاكي أصلي مستلهم من نمط نافس ومبني على ناتج تعلم رسمي</x:v>
      </x:c>
      <x:c r="T32" s="18" t="str">
        <x:v>https://media.etec.gov.sa/media/sszdnh2h/%D9%86%D9%88%D8%A7%D8%AA%D8%AC-%D8%A7%D9%84%D8%AA%D8%B9%D9%84%D9%85-2026.pdf</x:v>
      </x:c>
      <x:c r="U32" t="str">
        <x:v>هيئة تقويم التعليم والتدريب – نواتج التعلم (صياغة أصلية)</x:v>
      </x:c>
    </x:row>
    <x:row r="33" ht="54" customHeight="1">
      <x:c r="A33" s="18" t="str">
        <x:v>BIO032</x:v>
      </x:c>
      <x:c r="B33" s="18" t="str">
        <x:v>أحياء</x:v>
      </x:c>
      <x:c r="C33" s="18" t="str">
        <x:v>علوم الحياة</x:v>
      </x:c>
      <x:c r="D33" s="18" t="str">
        <x:v>أجهزة جسم الإنسان</x:v>
      </x:c>
      <x:c r="E33" s="18" t="str">
        <x:v>3-1-1-5-9</x:v>
      </x:c>
      <x:c r="F33" s="18" t="str">
        <x:v>تكيف الحويصلات الهوائية</x:v>
      </x:c>
      <x:c r="G33" s="18" t="str">
        <x:v>استدلال</x:v>
      </x:c>
      <x:c r="H33" s="18" t="str">
        <x:v>متوسط</x:v>
      </x:c>
      <x:c r="I33" s="18" t="str">
        <x:v>اختيار من متعدد</x:v>
      </x:c>
      <x:c r="J33" s="20" t="str">
        <x:v>تتميز الحويصلات الهوائية بجدران رقيقة ومساحة سطح كبيرة وشعيرات دموية كثيرة. ما الوظيفة التي تدعمها هذه الصفات؟</x:v>
      </x:c>
      <x:c r="K33" s="20" t="str">
        <x:v>تبادل الغازات بكفاءة</x:v>
      </x:c>
      <x:c r="L33" s="20" t="str">
        <x:v>هضم الدهون</x:v>
      </x:c>
      <x:c r="M33" s="20" t="str">
        <x:v>إنتاج البول</x:v>
      </x:c>
      <x:c r="N33" s="20" t="str">
        <x:v>تخزين الغذاء</x:v>
      </x:c>
      <x:c r="O33" s="20" t="str">
        <x:v>أ</x:v>
      </x:c>
      <x:c r="P33" s="20" t="str">
        <x:v>هذه الصفات تقلل مسافة الانتشار وتزيد مساحة تبادل الأكسجين وثاني أكسيد الكربون.</x:v>
      </x:c>
      <x:c r="Q33" s="18" t="str">
        <x:v>صورة</x:v>
      </x:c>
      <x:c r="R33" s="18" t="str">
        <x:v>حويصلات هوائية محاطة بشعيرات دموية مع أسهم تبادل الغازات</x:v>
      </x:c>
      <x:c r="S33" s="18" t="str">
        <x:v>محاكي أصلي مستلهم من نمط نافس ومبني على ناتج تعلم رسمي</x:v>
      </x:c>
      <x:c r="T33" s="18" t="str">
        <x:v>https://media.etec.gov.sa/media/sszdnh2h/%D9%86%D9%88%D8%A7%D8%AA%D8%AC-%D8%A7%D9%84%D8%AA%D8%B9%D9%84%D9%85-2026.pdf</x:v>
      </x:c>
      <x:c r="U33" t="str">
        <x:v>هيئة تقويم التعليم والتدريب – نواتج التعلم (صياغة أصلية)</x:v>
      </x:c>
    </x:row>
    <x:row r="34" ht="54" customHeight="1">
      <x:c r="A34" s="18" t="str">
        <x:v>BIO033</x:v>
      </x:c>
      <x:c r="B34" s="18" t="str">
        <x:v>أحياء</x:v>
      </x:c>
      <x:c r="C34" s="18" t="str">
        <x:v>علوم الحياة</x:v>
      </x:c>
      <x:c r="D34" s="18" t="str">
        <x:v>أجهزة جسم الإنسان</x:v>
      </x:c>
      <x:c r="E34" s="18" t="str">
        <x:v>3-1-1-5-9</x:v>
      </x:c>
      <x:c r="F34" s="18" t="str">
        <x:v>تمييز وظيفة الأوعية الدموية</x:v>
      </x:c>
      <x:c r="G34" s="18" t="str">
        <x:v>تطبيق</x:v>
      </x:c>
      <x:c r="H34" s="18" t="str">
        <x:v>متوسط</x:v>
      </x:c>
      <x:c r="I34" s="18" t="str">
        <x:v>اختيار من متعدد</x:v>
      </x:c>
      <x:c r="J34" s="20" t="str">
        <x:v>أي وعاء دموي يحمل الدم بعيدًا عن القلب غالبًا؟</x:v>
      </x:c>
      <x:c r="K34" s="20" t="str">
        <x:v>الشريان</x:v>
      </x:c>
      <x:c r="L34" s="20" t="str">
        <x:v>الوريد</x:v>
      </x:c>
      <x:c r="M34" s="20" t="str">
        <x:v>الشعيرة الدموية فقط</x:v>
      </x:c>
      <x:c r="N34" s="20" t="str">
        <x:v>الحويصلة الهوائية</x:v>
      </x:c>
      <x:c r="O34" s="20" t="str">
        <x:v>أ</x:v>
      </x:c>
      <x:c r="P34" s="20" t="str">
        <x:v>الشرايين تحمل الدم بعيدًا عن القلب، بينما تعيده الأوردة إلى القلب.</x:v>
      </x:c>
      <x:c r="Q34" s="18" t="str">
        <x:v>رسم</x:v>
      </x:c>
      <x:c r="R34" s="18" t="str">
        <x:v>رسم مبسط للقلب وشريان ووريد بأسهم اتجاه الدم</x:v>
      </x:c>
      <x:c r="S34" s="18" t="str">
        <x:v>محاكي أصلي مستلهم من نمط نافس ومبني على ناتج تعلم رسمي</x:v>
      </x:c>
      <x:c r="T34" s="18" t="str">
        <x:v>https://media.etec.gov.sa/media/sszdnh2h/%D9%86%D9%88%D8%A7%D8%AA%D8%AC-%D8%A7%D9%84%D8%AA%D8%B9%D9%84%D9%85-2026.pdf</x:v>
      </x:c>
      <x:c r="U34" t="str">
        <x:v>هيئة تقويم التعليم والتدريب – نواتج التعلم (صياغة أصلية)</x:v>
      </x:c>
    </x:row>
    <x:row r="35" ht="54" customHeight="1">
      <x:c r="A35" s="18" t="str">
        <x:v>BIO034</x:v>
      </x:c>
      <x:c r="B35" s="18" t="str">
        <x:v>أحياء</x:v>
      </x:c>
      <x:c r="C35" s="18" t="str">
        <x:v>علوم الحياة</x:v>
      </x:c>
      <x:c r="D35" s="18" t="str">
        <x:v>أجهزة جسم الإنسان</x:v>
      </x:c>
      <x:c r="E35" s="18" t="str">
        <x:v>3-1-1-5-9</x:v>
      </x:c>
      <x:c r="F35" s="18" t="str">
        <x:v>مسار الاستجابة الانعكاسية</x:v>
      </x:c>
      <x:c r="G35" s="18" t="str">
        <x:v>تطبيق</x:v>
      </x:c>
      <x:c r="H35" s="18" t="str">
        <x:v>متوسط</x:v>
      </x:c>
      <x:c r="I35" s="18" t="str">
        <x:v>اختيار من متعدد</x:v>
      </x:c>
      <x:c r="J35" s="20" t="str">
        <x:v>لمس طالب جسمًا ساخنًا فسحب يده بسرعة قبل أن يفكر في الموقف. ما الذي يفسر سرعة الاستجابة؟</x:v>
      </x:c>
      <x:c r="K35" s="20" t="str">
        <x:v>مسار انعكاسي يمر بالحبل الشوكي</x:v>
      </x:c>
      <x:c r="L35" s="20" t="str">
        <x:v>توقف الجهاز العصبي</x:v>
      </x:c>
      <x:c r="M35" s="20" t="str">
        <x:v>عمل الجهاز الهضمي</x:v>
      </x:c>
      <x:c r="N35" s="20" t="str">
        <x:v>انقسام الخلايا العضلية</x:v>
      </x:c>
      <x:c r="O35" s="20" t="str">
        <x:v>أ</x:v>
      </x:c>
      <x:c r="P35" s="20" t="str">
        <x:v>المنعكسات السريعة يمكن أن تعالج أوليًا عبر الحبل الشوكي قبل الوعي الكامل بالمثير.</x:v>
      </x:c>
      <x:c r="Q35" s="18" t="str">
        <x:v>رسم</x:v>
      </x:c>
      <x:c r="R35" s="18" t="str">
        <x:v>قوس انعكاسي من مستقبل حسي إلى الحبل الشوكي ثم العضلة</x:v>
      </x:c>
      <x:c r="S35" s="18" t="str">
        <x:v>محاكي أصلي مستلهم من نمط نافس ومبني على ناتج تعلم رسمي</x:v>
      </x:c>
      <x:c r="T35" s="18" t="str">
        <x:v>https://media.etec.gov.sa/media/sszdnh2h/%D9%86%D9%88%D8%A7%D8%AA%D8%AC-%D8%A7%D9%84%D8%AA%D8%B9%D9%84%D9%85-2026.pdf</x:v>
      </x:c>
      <x:c r="U35" t="str">
        <x:v>هيئة تقويم التعليم والتدريب – نواتج التعلم (صياغة أصلية)</x:v>
      </x:c>
    </x:row>
    <x:row r="36" ht="54" customHeight="1">
      <x:c r="A36" s="18" t="str">
        <x:v>BIO035</x:v>
      </x:c>
      <x:c r="B36" s="18" t="str">
        <x:v>أحياء</x:v>
      </x:c>
      <x:c r="C36" s="18" t="str">
        <x:v>علوم الحياة</x:v>
      </x:c>
      <x:c r="D36" s="18" t="str">
        <x:v>تنظيم المخلوقات الحية وتنوعها</x:v>
      </x:c>
      <x:c r="E36" s="18" t="str">
        <x:v>1-2-1-5-9</x:v>
      </x:c>
      <x:c r="F36" s="18" t="str">
        <x:v>استخدام مفتاح تصنيفي</x:v>
      </x:c>
      <x:c r="G36" s="18" t="str">
        <x:v>تطبيق</x:v>
      </x:c>
      <x:c r="H36" s="18" t="str">
        <x:v>متوسط</x:v>
      </x:c>
      <x:c r="I36" s="18" t="str">
        <x:v>اختيار من متعدد</x:v>
      </x:c>
      <x:c r="J36" s="20" t="str">
        <x:v>يعرض مفتاح تصنيفي: (1) له أجنحة ← انتقل إلى 2، لا أجنحة ← النوع د. (2) له زوج واحد من الأجنحة ← النوع أ، له زوجان ← النوع ب. مخلوق له زوجان من الأجنحة؛ ما نوعه؟</x:v>
      </x:c>
      <x:c r="K36" s="20" t="str">
        <x:v>أ</x:v>
      </x:c>
      <x:c r="L36" s="20" t="str">
        <x:v>ب</x:v>
      </x:c>
      <x:c r="M36" s="20" t="str">
        <x:v>ج</x:v>
      </x:c>
      <x:c r="N36" s="20" t="str">
        <x:v>د</x:v>
      </x:c>
      <x:c r="O36" s="20" t="str">
        <x:v>ب</x:v>
      </x:c>
      <x:c r="P36" s="20" t="str">
        <x:v>وفق المفتاح ينتقل المخلوق من صفة وجود الأجنحة إلى خيار زوجين من الأجنحة فيكون النوع ب.</x:v>
      </x:c>
      <x:c r="Q36" s="18" t="str">
        <x:v>جدول</x:v>
      </x:c>
      <x:c r="R36" s="18" t="str">
        <x:v>مفتاح تصنيفي ثنائي بسيط بالخطوتين الواردتين في نص السؤال</x:v>
      </x:c>
      <x:c r="S36" s="18" t="str">
        <x:v>محاكي أصلي مستلهم من نمط نافس ومبني على ناتج تعلم رسمي</x:v>
      </x:c>
      <x:c r="T36" s="18" t="str">
        <x:v>https://media.etec.gov.sa/media/sszdnh2h/%D9%86%D9%88%D8%A7%D8%AA%D8%AC-%D8%A7%D9%84%D8%AA%D8%B9%D9%84%D9%85-2026.pdf</x:v>
      </x:c>
      <x:c r="U36" t="str">
        <x:v>هيئة تقويم التعليم والتدريب – نواتج التعلم (صياغة أصلية)</x:v>
      </x:c>
    </x:row>
    <x:row r="37" ht="54" customHeight="1">
      <x:c r="A37" s="18" t="str">
        <x:v>BIO036</x:v>
      </x:c>
      <x:c r="B37" s="18" t="str">
        <x:v>أحياء</x:v>
      </x:c>
      <x:c r="C37" s="18" t="str">
        <x:v>علوم الحياة</x:v>
      </x:c>
      <x:c r="D37" s="18" t="str">
        <x:v>تنظيم المخلوقات الحية وتنوعها</x:v>
      </x:c>
      <x:c r="E37" s="18" t="str">
        <x:v>1-2-1-5-9</x:v>
      </x:c>
      <x:c r="F37" s="18" t="str">
        <x:v>أهمية الاسم العلمي</x:v>
      </x:c>
      <x:c r="G37" s="18" t="str">
        <x:v>معرفة</x:v>
      </x:c>
      <x:c r="H37" s="18" t="str">
        <x:v>سهل</x:v>
      </x:c>
      <x:c r="I37" s="18" t="str">
        <x:v>اختيار من متعدد</x:v>
      </x:c>
      <x:c r="J37" s="20" t="str">
        <x:v>ما الفائدة الأساسية من استخدام الاسم العلمي للمخلوق الحي؟</x:v>
      </x:c>
      <x:c r="K37" s="20" t="str">
        <x:v>توحيد تسمية المخلوق بين العلماء</x:v>
      </x:c>
      <x:c r="L37" s="20" t="str">
        <x:v>إظهار حجم المخلوق</x:v>
      </x:c>
      <x:c r="M37" s="20" t="str">
        <x:v>تحديد عمره مباشرة</x:v>
      </x:c>
      <x:c r="N37" s="20" t="str">
        <x:v>معرفة عدد خلاياه</x:v>
      </x:c>
      <x:c r="O37" s="20" t="str">
        <x:v>أ</x:v>
      </x:c>
      <x:c r="P37" s="20" t="str">
        <x:v>الاسم العلمي يقلل الالتباس الناتج عن اختلاف الأسماء الشائعة بين اللغات والمناطق.</x:v>
      </x:c>
      <x:c r="Q37" s="18" t="str">
        <x:v>نصي</x:v>
      </x:c>
      <x:c r="R37" s="18"/>
      <x:c r="S37" s="18" t="str">
        <x:v>محاكي أصلي مستلهم من نمط نافس ومبني على ناتج تعلم رسمي</x:v>
      </x:c>
      <x:c r="T37" s="18" t="str">
        <x:v>https://media.etec.gov.sa/media/sszdnh2h/%D9%86%D9%88%D8%A7%D8%AA%D8%AC-%D8%A7%D9%84%D8%AA%D8%B9%D9%84%D9%85-2026.pdf</x:v>
      </x:c>
      <x:c r="U37" t="str">
        <x:v>هيئة تقويم التعليم والتدريب – نواتج التعلم (صياغة أصلية)</x:v>
      </x:c>
    </x:row>
    <x:row r="38" ht="54" customHeight="1">
      <x:c r="A38" s="18" t="str">
        <x:v>BIO037</x:v>
      </x:c>
      <x:c r="B38" s="18" t="str">
        <x:v>أحياء</x:v>
      </x:c>
      <x:c r="C38" s="18" t="str">
        <x:v>علوم الحياة</x:v>
      </x:c>
      <x:c r="D38" s="18" t="str">
        <x:v>الأنظمة البيئية وتفاعلاتها</x:v>
      </x:c>
      <x:c r="E38" s="18" t="str">
        <x:v>3-3-1-5-9</x:v>
      </x:c>
      <x:c r="F38" s="18" t="str">
        <x:v>انتقال الطاقة في السلاسل الغذائية</x:v>
      </x:c>
      <x:c r="G38" s="18" t="str">
        <x:v>استدلال</x:v>
      </x:c>
      <x:c r="H38" s="18" t="str">
        <x:v>متوسط</x:v>
      </x:c>
      <x:c r="I38" s="18" t="str">
        <x:v>اختيار من متعدد</x:v>
      </x:c>
      <x:c r="J38" s="20" t="str">
        <x:v>في هرم طاقة، كانت الطاقة عند المنتجات 10000 وحدة. لماذا تكون الطاقة المتاحة للمستهلكات العليا أقل بكثير؟</x:v>
      </x:c>
      <x:c r="K38" s="20" t="str">
        <x:v>لأن جزءًا من الطاقة يُستخدم ويفقد كحرارة في كل مستوى غذائي</x:v>
      </x:c>
      <x:c r="L38" s="20" t="str">
        <x:v>لأن الطاقة تزداد صعودًا</x:v>
      </x:c>
      <x:c r="M38" s="20" t="str">
        <x:v>لأن المنتجات لا تحتوي طاقة</x:v>
      </x:c>
      <x:c r="N38" s="20" t="str">
        <x:v>لأن المستهلكات لا تتنفس</x:v>
      </x:c>
      <x:c r="O38" s="20" t="str">
        <x:v>أ</x:v>
      </x:c>
      <x:c r="P38" s="20" t="str">
        <x:v>لا تنتقل كل الطاقة إلى المستوى التالي؛ يستخدم جزء كبير منها في العمليات الحيوية ويتبدد كحرارة.</x:v>
      </x:c>
      <x:c r="Q38" s="18" t="str">
        <x:v>رسم</x:v>
      </x:c>
      <x:c r="R38" s="18" t="str">
        <x:v>هرم طاقة بأربعة مستويات مع 10000 وحدة عند قاعدة المنتجات</x:v>
      </x:c>
      <x:c r="S38" s="18" t="str">
        <x:v>محاكي أصلي مستلهم من نمط نافس ومبني على ناتج تعلم رسمي</x:v>
      </x:c>
      <x:c r="T38" s="18" t="str">
        <x:v>https://media.etec.gov.sa/media/sszdnh2h/%D9%86%D9%88%D8%A7%D8%AA%D8%AC-%D8%A7%D9%84%D8%AA%D8%B9%D9%84%D9%85-2026.pdf</x:v>
      </x:c>
      <x:c r="U38" t="str">
        <x:v>هيئة تقويم التعليم والتدريب – نواتج التعلم (صياغة أصلية)</x:v>
      </x:c>
    </x:row>
    <x:row r="39" ht="54" customHeight="1">
      <x:c r="A39" s="18" t="str">
        <x:v>BIO038</x:v>
      </x:c>
      <x:c r="B39" s="18" t="str">
        <x:v>أحياء</x:v>
      </x:c>
      <x:c r="C39" s="18" t="str">
        <x:v>علوم الحياة</x:v>
      </x:c>
      <x:c r="D39" s="18" t="str">
        <x:v>الأنظمة البيئية وتفاعلاتها</x:v>
      </x:c>
      <x:c r="E39" s="18" t="str">
        <x:v>5-3-1-5-9</x:v>
      </x:c>
      <x:c r="F39" s="18" t="str">
        <x:v>العوامل المحددة وحجم الجماعة</x:v>
      </x:c>
      <x:c r="G39" s="18" t="str">
        <x:v>استدلال</x:v>
      </x:c>
      <x:c r="H39" s="18" t="str">
        <x:v>صعب</x:v>
      </x:c>
      <x:c r="I39" s="18" t="str">
        <x:v>اختيار من متعدد</x:v>
      </x:c>
      <x:c r="J39" s="20" t="str">
        <x:v>ازداد عدد الأرانب في منطقة لعدة سنوات ثم استقر رغم استمرار التكاثر. أي تفسير هو الأكثر منطقية؟</x:v>
      </x:c>
      <x:c r="K39" s="20" t="str">
        <x:v>وصلت الجماعة إلى سعة تحمل تقارب ما تسمح به الموارد</x:v>
      </x:c>
      <x:c r="L39" s="20" t="str">
        <x:v>اختفت جميع العوامل المحددة</x:v>
      </x:c>
      <x:c r="M39" s="20" t="str">
        <x:v>أصبحت الموارد غير محدودة</x:v>
      </x:c>
      <x:c r="N39" s="20" t="str">
        <x:v>توقف التنافس تمامًا</x:v>
      </x:c>
      <x:c r="O39" s="20" t="str">
        <x:v>أ</x:v>
      </x:c>
      <x:c r="P39" s="20" t="str">
        <x:v>عندما تقترب الجماعة من سعة التحمل تحد الموارد والعوامل البيئية من استمرار الزيادة.</x:v>
      </x:c>
      <x:c r="Q39" s="18" t="str">
        <x:v>نصي</x:v>
      </x:c>
      <x:c r="R39" s="18"/>
      <x:c r="S39" s="18" t="str">
        <x:v>محاكي أصلي مستلهم من نمط نافس ومبني على ناتج تعلم رسمي</x:v>
      </x:c>
      <x:c r="T39" s="18" t="str">
        <x:v>https://media.etec.gov.sa/media/sszdnh2h/%D9%86%D9%88%D8%A7%D8%AA%D8%AC-%D8%A7%D9%84%D8%AA%D8%B9%D9%84%D9%85-2026.pdf</x:v>
      </x:c>
      <x:c r="U39" t="str">
        <x:v>هيئة تقويم التعليم والتدريب – نواتج التعلم (صياغة أصلية)</x:v>
      </x:c>
    </x:row>
    <x:row r="40" ht="54" customHeight="1">
      <x:c r="A40" s="18" t="str">
        <x:v>BIO039</x:v>
      </x:c>
      <x:c r="B40" s="18" t="str">
        <x:v>أحياء</x:v>
      </x:c>
      <x:c r="C40" s="18" t="str">
        <x:v>علوم الحياة</x:v>
      </x:c>
      <x:c r="D40" s="18" t="str">
        <x:v>الأنظمة البيئية وتفاعلاتها</x:v>
      </x:c>
      <x:c r="E40" s="18" t="str">
        <x:v>3-3-1-5-9</x:v>
      </x:c>
      <x:c r="F40" s="18" t="str">
        <x:v>دور المحللات في دورة المواد</x:v>
      </x:c>
      <x:c r="G40" s="18" t="str">
        <x:v>تطبيق</x:v>
      </x:c>
      <x:c r="H40" s="18" t="str">
        <x:v>متوسط</x:v>
      </x:c>
      <x:c r="I40" s="18" t="str">
        <x:v>اختيار من متعدد</x:v>
      </x:c>
      <x:c r="J40" s="20" t="str">
        <x:v>ما الدور الرئيس للمحللات في النظام البيئي؟</x:v>
      </x:c>
      <x:c r="K40" s="20" t="str">
        <x:v>إعادة مواد غذائية إلى البيئة بتحليل البقايا</x:v>
      </x:c>
      <x:c r="L40" s="20" t="str">
        <x:v>إنتاج ضوء الشمس</x:v>
      </x:c>
      <x:c r="M40" s="20" t="str">
        <x:v>منع موت المخلوقات</x:v>
      </x:c>
      <x:c r="N40" s="20" t="str">
        <x:v>تحويل المستهلكات إلى منتجات مباشرة</x:v>
      </x:c>
      <x:c r="O40" s="20" t="str">
        <x:v>أ</x:v>
      </x:c>
      <x:c r="P40" s="20" t="str">
        <x:v>تحلل المحللات بقايا المخلوقات وتعيد عناصر ومواد إلى التربة والبيئة.</x:v>
      </x:c>
      <x:c r="Q40" s="18" t="str">
        <x:v>نصي</x:v>
      </x:c>
      <x:c r="R40" s="18"/>
      <x:c r="S40" s="18" t="str">
        <x:v>محاكي أصلي مستلهم من نمط نافس ومبني على ناتج تعلم رسمي</x:v>
      </x:c>
      <x:c r="T40" s="18" t="str">
        <x:v>https://media.etec.gov.sa/media/sszdnh2h/%D9%86%D9%88%D8%A7%D8%AA%D8%AC-%D8%A7%D9%84%D8%AA%D8%B9%D9%84%D9%85-2026.pdf</x:v>
      </x:c>
      <x:c r="U40" t="str">
        <x:v>هيئة تقويم التعليم والتدريب – نواتج التعلم (صياغة أصلية)</x:v>
      </x:c>
    </x:row>
    <x:row r="41" ht="54" customHeight="1">
      <x:c r="A41" s="18" t="str">
        <x:v>BIO040</x:v>
      </x:c>
      <x:c r="B41" s="18" t="str">
        <x:v>أحياء</x:v>
      </x:c>
      <x:c r="C41" s="18" t="str">
        <x:v>علوم الحياة</x:v>
      </x:c>
      <x:c r="D41" s="18" t="str">
        <x:v>الأنظمة البيئية وتفاعلاتها</x:v>
      </x:c>
      <x:c r="E41" s="18" t="str">
        <x:v>5-3-1-5-9</x:v>
      </x:c>
      <x:c r="F41" s="18" t="str">
        <x:v>التعاقب البيئي</x:v>
      </x:c>
      <x:c r="G41" s="18" t="str">
        <x:v>استدلال</x:v>
      </x:c>
      <x:c r="H41" s="18" t="str">
        <x:v>متوسط</x:v>
      </x:c>
      <x:c r="I41" s="18" t="str">
        <x:v>اختيار من متعدد</x:v>
      </x:c>
      <x:c r="J41" s="20" t="str">
        <x:v>بعد حريق بقيت التربة في الغابة وبدأت الأعشاب تنمو ثم الشجيرات ثم الأشجار. ما العملية التي يصفها ذلك؟</x:v>
      </x:c>
      <x:c r="K41" s="20" t="str">
        <x:v>تعاقب ثانوي</x:v>
      </x:c>
      <x:c r="L41" s="20" t="str">
        <x:v>تعاقب أولي يبدأ بصخر عارٍ</x:v>
      </x:c>
      <x:c r="M41" s="20" t="str">
        <x:v>انقسام منصف</x:v>
      </x:c>
      <x:c r="N41" s="20" t="str">
        <x:v>هجرة قارية</x:v>
      </x:c>
      <x:c r="O41" s="20" t="str">
        <x:v>أ</x:v>
      </x:c>
      <x:c r="P41" s="20" t="str">
        <x:v>وجود التربة بعد الاضطراب يميز التعاقب الثانوي.</x:v>
      </x:c>
      <x:c r="Q41" s="18" t="str">
        <x:v>نصي</x:v>
      </x:c>
      <x:c r="R41" s="18"/>
      <x:c r="S41" s="18" t="str">
        <x:v>محاكي أصلي مستلهم من نمط نافس ومبني على ناتج تعلم رسمي</x:v>
      </x:c>
      <x:c r="T41" s="18" t="str">
        <x:v>https://media.etec.gov.sa/media/sszdnh2h/%D9%86%D9%88%D8%A7%D8%AA%D8%AC-%D8%A7%D9%84%D8%AA%D8%B9%D9%84%D9%85-2026.pdf</x:v>
      </x:c>
      <x:c r="U41" t="str">
        <x:v>هيئة تقويم التعليم والتدريب – نواتج التعلم (صياغة أصلية)</x:v>
      </x:c>
    </x:row>
    <x:row r="42" ht="54" customHeight="1">
      <x:c r="A42" s="18" t="str">
        <x:v>BIO041</x:v>
      </x:c>
      <x:c r="B42" s="18" t="str">
        <x:v>أحياء</x:v>
      </x:c>
      <x:c r="C42" s="18" t="str">
        <x:v>علوم الحياة</x:v>
      </x:c>
      <x:c r="D42" s="18" t="str">
        <x:v>الوراثة</x:v>
      </x:c>
      <x:c r="E42" s="18" t="str">
        <x:v>2-4-1-5-9</x:v>
      </x:c>
      <x:c r="F42" s="18" t="str">
        <x:v>أثر الطفرات في البروتينات</x:v>
      </x:c>
      <x:c r="G42" s="18" t="str">
        <x:v>استدلال</x:v>
      </x:c>
      <x:c r="H42" s="18" t="str">
        <x:v>صعب</x:v>
      </x:c>
      <x:c r="I42" s="18" t="str">
        <x:v>اختيار من متعدد</x:v>
      </x:c>
      <x:c r="J42" s="20" t="str">
        <x:v>حدث تغير في ترتيب قواعد جين مسؤول عن بروتين. لماذا قد تتغير صفة في المخلوق؟</x:v>
      </x:c>
      <x:c r="K42" s="20" t="str">
        <x:v>لأن تغير الجين قد يغير تركيب البروتين أو كميته</x:v>
      </x:c>
      <x:c r="L42" s="20" t="str">
        <x:v>لأن الجينات لا تؤثر في البروتينات</x:v>
      </x:c>
      <x:c r="M42" s="20" t="str">
        <x:v>لأن كل طفرة تزيد عدد الكروموسومات</x:v>
      </x:c>
      <x:c r="N42" s="20" t="str">
        <x:v>لأن البروتينات لا ترتبط بالصفات</x:v>
      </x:c>
      <x:c r="O42" s="20" t="str">
        <x:v>أ</x:v>
      </x:c>
      <x:c r="P42" s="20" t="str">
        <x:v>الجينات تحمل تعليمات تصنيع البروتينات، وقد يؤثر تغيرها في البروتين ومن ثم في الصفة.</x:v>
      </x:c>
      <x:c r="Q42" s="18" t="str">
        <x:v>نصي</x:v>
      </x:c>
      <x:c r="R42" s="18"/>
      <x:c r="S42" s="18" t="str">
        <x:v>محاكي أصلي مستلهم من نمط نافس ومبني على ناتج تعلم رسمي</x:v>
      </x:c>
      <x:c r="T42" s="18" t="str">
        <x:v>https://media.etec.gov.sa/media/sszdnh2h/%D9%86%D9%88%D8%A7%D8%AA%D8%AC-%D8%A7%D9%84%D8%AA%D8%B9%D9%84%D9%85-2026.pdf</x:v>
      </x:c>
      <x:c r="U42" t="str">
        <x:v>هيئة تقويم التعليم والتدريب – نواتج التعلم (صياغة أصلية)</x:v>
      </x:c>
    </x:row>
    <x:row r="43" ht="54" customHeight="1">
      <x:c r="A43" s="18" t="str">
        <x:v>BIO042</x:v>
      </x:c>
      <x:c r="B43" s="18" t="str">
        <x:v>أحياء</x:v>
      </x:c>
      <x:c r="C43" s="18" t="str">
        <x:v>علوم الحياة</x:v>
      </x:c>
      <x:c r="D43" s="18" t="str">
        <x:v>الوراثة</x:v>
      </x:c>
      <x:c r="E43" s="18" t="str">
        <x:v>1-4-1-5-9</x:v>
      </x:c>
      <x:c r="F43" s="18" t="str">
        <x:v>تطبيق مربع بانيت</x:v>
      </x:c>
      <x:c r="G43" s="18" t="str">
        <x:v>تطبيق</x:v>
      </x:c>
      <x:c r="H43" s="18" t="str">
        <x:v>متوسط</x:v>
      </x:c>
      <x:c r="I43" s="18" t="str">
        <x:v>اختيار من متعدد</x:v>
      </x:c>
      <x:c r="J43" s="20" t="str">
        <x:v>في صفة تكون A سائدة على a، ما احتمال ظهور الصفة المتنحية عند تهجين Aa × Aa؟</x:v>
      </x:c>
      <x:c r="K43" s="20" t="str">
        <x:v>0%</x:v>
      </x:c>
      <x:c r="L43" s="20" t="str">
        <x:v>25%</x:v>
      </x:c>
      <x:c r="M43" s="20" t="str">
        <x:v>50%</x:v>
      </x:c>
      <x:c r="N43" s="20" t="str">
        <x:v>75%</x:v>
      </x:c>
      <x:c r="O43" s="20" t="str">
        <x:v>ب</x:v>
      </x:c>
      <x:c r="P43" s="20" t="str">
        <x:v>النواتج المحتملة AA وAa وAa وaa؛ واحد من أربعة يظهر الصفة المتنحية.</x:v>
      </x:c>
      <x:c r="Q43" s="18" t="str">
        <x:v>جدول</x:v>
      </x:c>
      <x:c r="R43" s="18" t="str">
        <x:v>مربع بانيت 2×2 للتهجين Aa × Aa</x:v>
      </x:c>
      <x:c r="S43" s="18" t="str">
        <x:v>محاكي أصلي مستلهم من نمط نافس ومبني على ناتج تعلم رسمي</x:v>
      </x:c>
      <x:c r="T43" s="18" t="str">
        <x:v>https://media.etec.gov.sa/media/sszdnh2h/%D9%86%D9%88%D8%A7%D8%AA%D8%AC-%D8%A7%D9%84%D8%AA%D8%B9%D9%84%D9%85-2026.pdf</x:v>
      </x:c>
      <x:c r="U43" t="str">
        <x:v>هيئة تقويم التعليم والتدريب – نواتج التعلم (صياغة أصلية)</x:v>
      </x:c>
    </x:row>
    <x:row r="44" ht="54" customHeight="1">
      <x:c r="A44" s="18" t="str">
        <x:v>BIO043</x:v>
      </x:c>
      <x:c r="B44" s="18" t="str">
        <x:v>أحياء</x:v>
      </x:c>
      <x:c r="C44" s="18" t="str">
        <x:v>علوم الحياة</x:v>
      </x:c>
      <x:c r="D44" s="18" t="str">
        <x:v>الوراثة</x:v>
      </x:c>
      <x:c r="E44" s="18" t="str">
        <x:v>2-4-1-5-9</x:v>
      </x:c>
      <x:c r="F44" s="18" t="str">
        <x:v>تمييز الكروموسومات الجنسية</x:v>
      </x:c>
      <x:c r="G44" s="18" t="str">
        <x:v>معرفة</x:v>
      </x:c>
      <x:c r="H44" s="18" t="str">
        <x:v>سهل</x:v>
      </x:c>
      <x:c r="I44" s="18" t="str">
        <x:v>اختيار من متعدد</x:v>
      </x:c>
      <x:c r="J44" s="20" t="str">
        <x:v>أي زوج يمثل عادة الكروموسومات الجنسية للأنثى البشرية؟</x:v>
      </x:c>
      <x:c r="K44" s="20" t="str">
        <x:v>XX</x:v>
      </x:c>
      <x:c r="L44" s="20" t="str">
        <x:v>XY</x:v>
      </x:c>
      <x:c r="M44" s="20" t="str">
        <x:v>YY</x:v>
      </x:c>
      <x:c r="N44" s="20" t="str">
        <x:v>XO دائمًا</x:v>
      </x:c>
      <x:c r="O44" s="20" t="str">
        <x:v>أ</x:v>
      </x:c>
      <x:c r="P44" s="20" t="str">
        <x:v>الأنثى البشرية تحمل عادة زوجًا من الكروموسومات الجنسية XX.</x:v>
      </x:c>
      <x:c r="Q44" s="18" t="str">
        <x:v>نصي</x:v>
      </x:c>
      <x:c r="R44" s="18"/>
      <x:c r="S44" s="18" t="str">
        <x:v>محاكي أصلي مستلهم من نمط نافس ومبني على ناتج تعلم رسمي</x:v>
      </x:c>
      <x:c r="T44" s="18" t="str">
        <x:v>https://media.etec.gov.sa/media/sszdnh2h/%D9%86%D9%88%D8%A7%D8%AA%D8%AC-%D8%A7%D9%84%D8%AA%D8%B9%D9%84%D9%85-2026.pdf</x:v>
      </x:c>
      <x:c r="U44" t="str">
        <x:v>هيئة تقويم التعليم والتدريب – نواتج التعلم (صياغة أصلية)</x:v>
      </x:c>
    </x:row>
    <x:row r="45" ht="54" customHeight="1">
      <x:c r="A45" s="18" t="str">
        <x:v>BIO044</x:v>
      </x:c>
      <x:c r="B45" s="18" t="str">
        <x:v>أحياء</x:v>
      </x:c>
      <x:c r="C45" s="18" t="str">
        <x:v>علوم الحياة</x:v>
      </x:c>
      <x:c r="D45" s="18" t="str">
        <x:v>الوراثة</x:v>
      </x:c>
      <x:c r="E45" s="18" t="str">
        <x:v>1-4-1-5-9</x:v>
      </x:c>
      <x:c r="F45" s="18" t="str">
        <x:v>التمييز بين الطراز الجيني والشكلي</x:v>
      </x:c>
      <x:c r="G45" s="18" t="str">
        <x:v>تطبيق</x:v>
      </x:c>
      <x:c r="H45" s="18" t="str">
        <x:v>متوسط</x:v>
      </x:c>
      <x:c r="I45" s="18" t="str">
        <x:v>اختيار من متعدد</x:v>
      </x:c>
      <x:c r="J45" s="20" t="str">
        <x:v>لنبات طراز جيني Tt وظهر طويل الساق لأن T سائد. أي عبارة صحيحة؟</x:v>
      </x:c>
      <x:c r="K45" s="20" t="str">
        <x:v>Tt هو الطراز الجيني وطول الساق هو الطراز الشكلي</x:v>
      </x:c>
      <x:c r="L45" s="20" t="str">
        <x:v>Tt هو الطراز الشكلي فقط</x:v>
      </x:c>
      <x:c r="M45" s="20" t="str">
        <x:v>طول الساق هو الطراز الجيني</x:v>
      </x:c>
      <x:c r="N45" s="20" t="str">
        <x:v>لا توجد علاقة بينهما</x:v>
      </x:c>
      <x:c r="O45" s="20" t="str">
        <x:v>أ</x:v>
      </x:c>
      <x:c r="P45" s="20" t="str">
        <x:v>الطراز الجيني يصف تركيب الأليلات، والطراز الشكلي هو الصفة الظاهرة.</x:v>
      </x:c>
      <x:c r="Q45" s="18" t="str">
        <x:v>جدول</x:v>
      </x:c>
      <x:c r="R45" s="18" t="str">
        <x:v>جدول يربط Tt بالطراز الجيني وطويل الساق بالطراز الشكلي</x:v>
      </x:c>
      <x:c r="S45" s="18" t="str">
        <x:v>محاكي أصلي مستلهم من نمط نافس ومبني على ناتج تعلم رسمي</x:v>
      </x:c>
      <x:c r="T45" s="18" t="str">
        <x:v>https://media.etec.gov.sa/media/sszdnh2h/%D9%86%D9%88%D8%A7%D8%AA%D8%AC-%D8%A7%D9%84%D8%AA%D8%B9%D9%84%D9%85-2026.pdf</x:v>
      </x:c>
      <x:c r="U45" t="str">
        <x:v>هيئة تقويم التعليم والتدريب – نواتج التعلم (صياغة أصلية)</x:v>
      </x:c>
    </x:row>
    <x:row r="46" ht="54" customHeight="1">
      <x:c r="A46" s="18" t="str">
        <x:v>BIO045</x:v>
      </x:c>
      <x:c r="B46" s="18" t="str">
        <x:v>أحياء</x:v>
      </x:c>
      <x:c r="C46" s="18" t="str">
        <x:v>علوم الحياة</x:v>
      </x:c>
      <x:c r="D46" s="18" t="str">
        <x:v>الوراثة</x:v>
      </x:c>
      <x:c r="E46" s="18" t="str">
        <x:v>2-4-1-5-9</x:v>
      </x:c>
      <x:c r="F46" s="18" t="str">
        <x:v>دور RNA في تصنيع البروتين</x:v>
      </x:c>
      <x:c r="G46" s="18" t="str">
        <x:v>تطبيق</x:v>
      </x:c>
      <x:c r="H46" s="18" t="str">
        <x:v>متوسط</x:v>
      </x:c>
      <x:c r="I46" s="18" t="str">
        <x:v>اختيار من متعدد</x:v>
      </x:c>
      <x:c r="J46" s="20" t="str">
        <x:v>أي وصف يوضح دور RNA بصورة أفضل في الخلية؟</x:v>
      </x:c>
      <x:c r="K46" s="20" t="str">
        <x:v>يسهم في نقل واستخدام المعلومات الوراثية أثناء تصنيع البروتين</x:v>
      </x:c>
      <x:c r="L46" s="20" t="str">
        <x:v>يكون الجدار الخلوي</x:v>
      </x:c>
      <x:c r="M46" s="20" t="str">
        <x:v>يخزن الماء في الفجوة فقط</x:v>
      </x:c>
      <x:c r="N46" s="20" t="str">
        <x:v>يمنع تضاعف DNA دائمًا</x:v>
      </x:c>
      <x:c r="O46" s="20" t="str">
        <x:v>أ</x:v>
      </x:c>
      <x:c r="P46" s="20" t="str">
        <x:v>أنواع RNA تشارك في نقل الشفرة الوراثية وترجمتها أثناء تصنيع البروتين.</x:v>
      </x:c>
      <x:c r="Q46" s="18" t="str">
        <x:v>نصي</x:v>
      </x:c>
      <x:c r="R46" s="18"/>
      <x:c r="S46" s="18" t="str">
        <x:v>محاكي أصلي مستلهم من نمط نافس ومبني على ناتج تعلم رسمي</x:v>
      </x:c>
      <x:c r="T46" s="18" t="str">
        <x:v>https://media.etec.gov.sa/media/sszdnh2h/%D9%86%D9%88%D8%A7%D8%AA%D8%AC-%D8%A7%D9%84%D8%AA%D8%B9%D9%84%D9%85-2026.pdf</x:v>
      </x:c>
      <x:c r="U46" t="str">
        <x:v>هيئة تقويم التعليم والتدريب – نواتج التعلم (صياغة أصلية)</x:v>
      </x:c>
    </x:row>
    <x:row r="47" ht="54" customHeight="1">
      <x:c r="A47" s="18" t="str">
        <x:v>BIO046</x:v>
      </x:c>
      <x:c r="B47" s="18" t="str">
        <x:v>أحياء</x:v>
      </x:c>
      <x:c r="C47" s="18" t="str">
        <x:v>علوم الحياة</x:v>
      </x:c>
      <x:c r="D47" s="18" t="str">
        <x:v>الوراثة</x:v>
      </x:c>
      <x:c r="E47" s="18" t="str">
        <x:v>1-4-1-5-9</x:v>
      </x:c>
      <x:c r="F47" s="18" t="str">
        <x:v>تحليل نمط وراثي في مخطط أسرة</x:v>
      </x:c>
      <x:c r="G47" s="18" t="str">
        <x:v>استدلال</x:v>
      </x:c>
      <x:c r="H47" s="18" t="str">
        <x:v>صعب</x:v>
      </x:c>
      <x:c r="I47" s="18" t="str">
        <x:v>اختيار من متعدد</x:v>
      </x:c>
      <x:c r="J47" s="20" t="str">
        <x:v>في مخطط أسرة، ظهر مرض متنحٍ لدى طفل بينما الأبوان غير مصابين. ما التفسير الوراثي الأكثر احتمالًا؟</x:v>
      </x:c>
      <x:c r="K47" s="20" t="str">
        <x:v>كلا الأبوين حامل للأليل المتنحي</x:v>
      </x:c>
      <x:c r="L47" s="20" t="str">
        <x:v>كلا الأبوين يحمل أليلين سائدين</x:v>
      </x:c>
      <x:c r="M47" s="20" t="str">
        <x:v>المرض السائد يظهر فقط عند الطفل</x:v>
      </x:c>
      <x:c r="N47" s="20" t="str">
        <x:v>لا تنتقل الصفات وراثيًا</x:v>
      </x:c>
      <x:c r="O47" s="20" t="str">
        <x:v>أ</x:v>
      </x:c>
      <x:c r="P47" s="20" t="str">
        <x:v>يمكن لأبوين غير مصابين ظاهريًا أن يكونا حاملين لأليل متنحٍ وينقلاه معًا للطفل.</x:v>
      </x:c>
      <x:c r="Q47" s="18" t="str">
        <x:v>صورة</x:v>
      </x:c>
      <x:c r="R47" s="18" t="str">
        <x:v>مخطط نسب مبسط لأبوين غير مصابين وطفل مصاب</x:v>
      </x:c>
      <x:c r="S47" s="18" t="str">
        <x:v>محاكي أصلي مستلهم من نمط نافس ومبني على ناتج تعلم رسمي</x:v>
      </x:c>
      <x:c r="T47" s="18" t="str">
        <x:v>https://media.etec.gov.sa/media/sszdnh2h/%D9%86%D9%88%D8%A7%D8%AA%D8%AC-%D8%A7%D9%84%D8%AA%D8%B9%D9%84%D9%85-2026.pdf</x:v>
      </x:c>
      <x:c r="U47" t="str">
        <x:v>هيئة تقويم التعليم والتدريب – نواتج التعلم (صياغة أصلية)</x:v>
      </x:c>
    </x:row>
    <x:row r="48" ht="54" customHeight="1">
      <x:c r="A48" s="18" t="str">
        <x:v>BIO047</x:v>
      </x:c>
      <x:c r="B48" s="18" t="str">
        <x:v>أحياء</x:v>
      </x:c>
      <x:c r="C48" s="18" t="str">
        <x:v>علوم الحياة</x:v>
      </x:c>
      <x:c r="D48" s="18" t="str">
        <x:v>الوراثة</x:v>
      </x:c>
      <x:c r="E48" s="18" t="str">
        <x:v>1-4-1-5-9</x:v>
      </x:c>
      <x:c r="F48" s="18" t="str">
        <x:v>تفسير التباين الوراثي</x:v>
      </x:c>
      <x:c r="G48" s="18" t="str">
        <x:v>استدلال</x:v>
      </x:c>
      <x:c r="H48" s="18" t="str">
        <x:v>متوسط</x:v>
      </x:c>
      <x:c r="I48" s="18" t="str">
        <x:v>اختيار من متعدد</x:v>
      </x:c>
      <x:c r="J48" s="20" t="str">
        <x:v>لماذا لا يكون الإخوة في الأسرة الواحدة متطابقين وراثيًا عادة رغم اشتراكهم في الأبوين؟</x:v>
      </x:c>
      <x:c r="K48" s="20" t="str">
        <x:v>لأن الأمشاج الناتجة بالانقسام المنصف تختلف في تراكيبها الوراثية</x:v>
      </x:c>
      <x:c r="L48" s="20" t="str">
        <x:v>لأن كل خلية جسمية تحتوي عددًا مختلفًا من الكروموسومات</x:v>
      </x:c>
      <x:c r="M48" s="20" t="str">
        <x:v>لأن DNA لا ينتقل إلى الأبناء</x:v>
      </x:c>
      <x:c r="N48" s="20" t="str">
        <x:v>لأن الصفات لا تتأثر بالجينات</x:v>
      </x:c>
      <x:c r="O48" s="20" t="str">
        <x:v>أ</x:v>
      </x:c>
      <x:c r="P48" s="20" t="str">
        <x:v>توزيع الكروموسومات وإعادة تركيبها في الانقسام المنصف ينتجان أمشاجًا متنوعة.</x:v>
      </x:c>
      <x:c r="Q48" s="18" t="str">
        <x:v>نصي</x:v>
      </x:c>
      <x:c r="R48" s="18"/>
      <x:c r="S48" s="18" t="str">
        <x:v>محاكي أصلي مستلهم من نمط نافس ومبني على ناتج تعلم رسمي</x:v>
      </x:c>
      <x:c r="T48" s="18" t="str">
        <x:v>https://media.etec.gov.sa/media/sszdnh2h/%D9%86%D9%88%D8%A7%D8%AA%D8%AC-%D8%A7%D9%84%D8%AA%D8%B9%D9%84%D9%85-2026.pdf</x:v>
      </x:c>
      <x:c r="U48" t="str">
        <x:v>هيئة تقويم التعليم والتدريب – نواتج التعلم (صياغة أصلية)</x:v>
      </x:c>
    </x:row>
    <x:row r="49" ht="54" customHeight="1">
      <x:c r="A49" s="18" t="str">
        <x:v>BIO048</x:v>
      </x:c>
      <x:c r="B49" s="18" t="str">
        <x:v>أحياء</x:v>
      </x:c>
      <x:c r="C49" s="18" t="str">
        <x:v>علوم الحياة</x:v>
      </x:c>
      <x:c r="D49" s="18" t="str">
        <x:v>الأنظمة البيئية وتفاعلاتها</x:v>
      </x:c>
      <x:c r="E49" s="18" t="str">
        <x:v>4-3-1-5-9</x:v>
      </x:c>
      <x:c r="F49" s="18" t="str">
        <x:v>تمييز التطفل</x:v>
      </x:c>
      <x:c r="G49" s="18" t="str">
        <x:v>تطبيق</x:v>
      </x:c>
      <x:c r="H49" s="18" t="str">
        <x:v>سهل</x:v>
      </x:c>
      <x:c r="I49" s="18" t="str">
        <x:v>اختيار من متعدد</x:v>
      </x:c>
      <x:c r="J49" s="20" t="str">
        <x:v>تعيش دودة داخل أمعاء حيوان وتستفيد من غذائه بينما يتضرر الحيوان. ما نوع العلاقة؟</x:v>
      </x:c>
      <x:c r="K49" s="20" t="str">
        <x:v>تبادل منفعة</x:v>
      </x:c>
      <x:c r="L49" s="20" t="str">
        <x:v>تعايش</x:v>
      </x:c>
      <x:c r="M49" s="20" t="str">
        <x:v>تطفل</x:v>
      </x:c>
      <x:c r="N49" s="20" t="str">
        <x:v>تنافس</x:v>
      </x:c>
      <x:c r="O49" s="20" t="str">
        <x:v>ج</x:v>
      </x:c>
      <x:c r="P49" s="20" t="str">
        <x:v>في التطفل يستفيد مخلوق ويتضرر الآخر.</x:v>
      </x:c>
      <x:c r="Q49" s="18" t="str">
        <x:v>نصي</x:v>
      </x:c>
      <x:c r="R49" s="18"/>
      <x:c r="S49" s="18" t="str">
        <x:v>محاكي أصلي مستلهم من نمط نافس ومبني على ناتج تعلم رسمي</x:v>
      </x:c>
      <x:c r="T49" s="18" t="str">
        <x:v>https://media.etec.gov.sa/media/sszdnh2h/%D9%86%D9%88%D8%A7%D8%AA%D8%AC-%D8%A7%D9%84%D8%AA%D8%B9%D9%84%D9%85-2026.pdf</x:v>
      </x:c>
      <x:c r="U49" t="str">
        <x:v>هيئة تقويم التعليم والتدريب – نواتج التعلم (صياغة أصلية)</x:v>
      </x:c>
    </x:row>
    <x:row r="50" ht="54" customHeight="1">
      <x:c r="A50" s="18" t="str">
        <x:v>BIO049</x:v>
      </x:c>
      <x:c r="B50" s="18" t="str">
        <x:v>أحياء</x:v>
      </x:c>
      <x:c r="C50" s="18" t="str">
        <x:v>علوم الحياة</x:v>
      </x:c>
      <x:c r="D50" s="18" t="str">
        <x:v>الأنظمة البيئية وتفاعلاتها</x:v>
      </x:c>
      <x:c r="E50" s="18" t="str">
        <x:v>1-3-1-5-9</x:v>
      </x:c>
      <x:c r="F50" s="18" t="str">
        <x:v>التكيف السلوكي</x:v>
      </x:c>
      <x:c r="G50" s="18" t="str">
        <x:v>تطبيق</x:v>
      </x:c>
      <x:c r="H50" s="18" t="str">
        <x:v>متوسط</x:v>
      </x:c>
      <x:c r="I50" s="18" t="str">
        <x:v>اختيار من متعدد</x:v>
      </x:c>
      <x:c r="J50" s="20" t="str">
        <x:v>تهاجر بعض الطيور إلى مناطق أدفأ في فصل الشتاء. كيف يصنف هذا السلوك؟</x:v>
      </x:c>
      <x:c r="K50" s="20" t="str">
        <x:v>تكيف سلوكي يساعد على البقاء</x:v>
      </x:c>
      <x:c r="L50" s="20" t="str">
        <x:v>طفرة في تركيب الخلية</x:v>
      </x:c>
      <x:c r="M50" s="20" t="str">
        <x:v>انقسام متساوٍ</x:v>
      </x:c>
      <x:c r="N50" s="20" t="str">
        <x:v>تغير كيميائي</x:v>
      </x:c>
      <x:c r="O50" s="20" t="str">
        <x:v>أ</x:v>
      </x:c>
      <x:c r="P50" s="20" t="str">
        <x:v>الهجرة سلوك يزيد فرص البقاء والحصول على الموارد في ظروف مناسبة.</x:v>
      </x:c>
      <x:c r="Q50" s="18" t="str">
        <x:v>نصي</x:v>
      </x:c>
      <x:c r="R50" s="18"/>
      <x:c r="S50" s="18" t="str">
        <x:v>محاكي أصلي مستلهم من نمط نافس ومبني على ناتج تعلم رسمي</x:v>
      </x:c>
      <x:c r="T50" s="18" t="str">
        <x:v>https://media.etec.gov.sa/media/sszdnh2h/%D9%86%D9%88%D8%A7%D8%AA%D8%AC-%D8%A7%D9%84%D8%AA%D8%B9%D9%84%D9%85-2026.pdf</x:v>
      </x:c>
      <x:c r="U50" t="str">
        <x:v>هيئة تقويم التعليم والتدريب – نواتج التعلم (صياغة أصلية)</x:v>
      </x:c>
    </x:row>
    <x:row r="51" ht="54" customHeight="1">
      <x:c r="A51" s="18" t="str">
        <x:v>BIO050</x:v>
      </x:c>
      <x:c r="B51" s="18" t="str">
        <x:v>أحياء</x:v>
      </x:c>
      <x:c r="C51" s="18" t="str">
        <x:v>علوم الحياة</x:v>
      </x:c>
      <x:c r="D51" s="18" t="str">
        <x:v>الأنظمة البيئية وتفاعلاتها</x:v>
      </x:c>
      <x:c r="E51" s="18" t="str">
        <x:v>5-3-1-5-9</x:v>
      </x:c>
      <x:c r="F51" s="18" t="str">
        <x:v>تحليل بيانات جماعة حيوية</x:v>
      </x:c>
      <x:c r="G51" s="18" t="str">
        <x:v>استدلال</x:v>
      </x:c>
      <x:c r="H51" s="18" t="str">
        <x:v>صعب</x:v>
      </x:c>
      <x:c r="I51" s="18" t="str">
        <x:v>اختيار من متعدد</x:v>
      </x:c>
      <x:c r="J51" s="20" t="str">
        <x:v>يوضح الرسم أن عدد جماعة من الغزلان ارتفع سريعًا ثم تذبذب حول قيمة ثابتة تقريبًا. ماذا تمثل هذه القيمة على الأرجح؟</x:v>
      </x:c>
      <x:c r="K51" s="20" t="str">
        <x:v>سعة تحمل البيئة</x:v>
      </x:c>
      <x:c r="L51" s="20" t="str">
        <x:v>عدد الكروموسومات</x:v>
      </x:c>
      <x:c r="M51" s="20" t="str">
        <x:v>معدل البناء الضوئي</x:v>
      </x:c>
      <x:c r="N51" s="20" t="str">
        <x:v>درجة الانصهار</x:v>
      </x:c>
      <x:c r="O51" s="20" t="str">
        <x:v>أ</x:v>
      </x:c>
      <x:c r="P51" s="20" t="str">
        <x:v>استقرار الجماعة وتذبذبها حول مستوى معين غالبًا يشير إلى سعة التحمل.</x:v>
      </x:c>
      <x:c r="Q51" s="18" t="str">
        <x:v>رسم بياني</x:v>
      </x:c>
      <x:c r="R51" s="18" t="str">
        <x:v>منحنى نمو جماعة يرتفع ثم يتذبذب حول خط أفقي يمثل سعة التحمل</x:v>
      </x:c>
      <x:c r="S51" s="18" t="str">
        <x:v>محاكي أصلي مستلهم من نمط نافس ومبني على ناتج تعلم رسمي</x:v>
      </x:c>
      <x:c r="T51" s="18" t="str">
        <x:v>https://media.etec.gov.sa/media/sszdnh2h/%D9%86%D9%88%D8%A7%D8%AA%D8%AC-%D8%A7%D9%84%D8%AA%D8%B9%D9%84%D9%85-2026.pdf</x:v>
      </x:c>
      <x:c r="U51" t="str">
        <x:v>هيئة تقويم التعليم والتدريب – نواتج التعلم (صياغة أصلية)</x:v>
      </x:c>
    </x:row>
    <x:row r="52" ht="54" customHeight="1">
      <x:c r="A52" s="22" t="str">
        <x:v>CHEM001</x:v>
      </x:c>
      <x:c r="B52" s="22" t="str">
        <x:v>كيمياء</x:v>
      </x:c>
      <x:c r="C52" s="22" t="str">
        <x:v>العلوم الفيزيائية</x:v>
      </x:c>
      <x:c r="D52" s="22" t="str">
        <x:v>المادة وتفاعلاتها</x:v>
      </x:c>
      <x:c r="E52" s="22" t="str">
        <x:v>1-1-2-5-9</x:v>
      </x:c>
      <x:c r="F52" s="22" t="str">
        <x:v>تركيب الذرة وحساب الجسيمات</x:v>
      </x:c>
      <x:c r="G52" s="22" t="str">
        <x:v>تطبيق</x:v>
      </x:c>
      <x:c r="H52" s="22" t="str">
        <x:v>متوسط</x:v>
      </x:c>
      <x:c r="I52" s="22" t="str">
        <x:v>اختيار من متعدد</x:v>
      </x:c>
      <x:c r="J52" s="20" t="str">
        <x:v>ذرة متعادلة عددها الذري 11 وعددها الكتلي 23. كم عدد النيوترونات فيها؟</x:v>
      </x:c>
      <x:c r="K52" s="20" t="str">
        <x:v>11</x:v>
      </x:c>
      <x:c r="L52" s="20" t="str">
        <x:v>12</x:v>
      </x:c>
      <x:c r="M52" s="20" t="str">
        <x:v>23</x:v>
      </x:c>
      <x:c r="N52" s="20" t="str">
        <x:v>34</x:v>
      </x:c>
      <x:c r="O52" s="20" t="str">
        <x:v>ب</x:v>
      </x:c>
      <x:c r="P52" s="20" t="str">
        <x:v>عدد النيوترونات = العدد الكتلي - العدد الذري = 23 - 11 = 12.</x:v>
      </x:c>
      <x:c r="Q52" s="22" t="str">
        <x:v>نصي</x:v>
      </x:c>
      <x:c r="R52" s="22"/>
      <x:c r="S52" s="22" t="str">
        <x:v>دفعة أولى – محاكي أصلي مبني على ناتج تعلم رسمي</x:v>
      </x:c>
      <x:c r="T52" s="22" t="str">
        <x:v>https://media.etec.gov.sa/media/sszdnh2h/%D9%86%D9%88%D8%A7%D8%AA%D8%AC-%D8%A7%D9%84%D8%AA%D8%B9%D9%84%D9%85-2026.pdf</x:v>
      </x:c>
      <x:c r="U52" t="str">
        <x:v>هيئة تقويم التعليم والتدريب – نواتج التعلم (صياغة أصلية)</x:v>
      </x:c>
    </x:row>
    <x:row r="53" ht="54" customHeight="1">
      <x:c r="A53" s="22" t="str">
        <x:v>CHEM002</x:v>
      </x:c>
      <x:c r="B53" s="22" t="str">
        <x:v>كيمياء</x:v>
      </x:c>
      <x:c r="C53" s="22" t="str">
        <x:v>العلوم الفيزيائية</x:v>
      </x:c>
      <x:c r="D53" s="22" t="str">
        <x:v>المادة وتفاعلاتها</x:v>
      </x:c>
      <x:c r="E53" s="22" t="str">
        <x:v>1-1-2-5-9</x:v>
      </x:c>
      <x:c r="F53" s="22" t="str">
        <x:v>تمييز النظائر</x:v>
      </x:c>
      <x:c r="G53" s="22" t="str">
        <x:v>تطبيق</x:v>
      </x:c>
      <x:c r="H53" s="22" t="str">
        <x:v>متوسط</x:v>
      </x:c>
      <x:c r="I53" s="22" t="str">
        <x:v>اختيار من متعدد</x:v>
      </x:c>
      <x:c r="J53" s="20" t="str">
        <x:v>ذرتان لعنصر واحد لهما العدد الذري نفسه لكن عددًا مختلفًا من النيوترونات. ماذا تمثلان؟</x:v>
      </x:c>
      <x:c r="K53" s="20" t="str">
        <x:v>أيونين مختلفين</x:v>
      </x:c>
      <x:c r="L53" s="20" t="str">
        <x:v>نظيرين للعنصر نفسه</x:v>
      </x:c>
      <x:c r="M53" s="20" t="str">
        <x:v>مركبين مختلفين</x:v>
      </x:c>
      <x:c r="N53" s="20" t="str">
        <x:v>فلزين مختلفين</x:v>
      </x:c>
      <x:c r="O53" s="20" t="str">
        <x:v>ب</x:v>
      </x:c>
      <x:c r="P53" s="20" t="str">
        <x:v>نظائر العنصر لها العدد الذري نفسه وتختلف في عدد النيوترونات والعدد الكتلي.</x:v>
      </x:c>
      <x:c r="Q53" s="22" t="str">
        <x:v>نصي</x:v>
      </x:c>
      <x:c r="R53" s="22"/>
      <x:c r="S53" s="22" t="str">
        <x:v>دفعة أولى – محاكي أصلي مبني على ناتج تعلم رسمي</x:v>
      </x:c>
      <x:c r="T53" s="22" t="str">
        <x:v>https://media.etec.gov.sa/media/sszdnh2h/%D9%86%D9%88%D8%A7%D8%AA%D8%AC-%D8%A7%D9%84%D8%AA%D8%B9%D9%84%D9%85-2026.pdf</x:v>
      </x:c>
      <x:c r="U53" t="str">
        <x:v>هيئة تقويم التعليم والتدريب – نواتج التعلم (صياغة أصلية)</x:v>
      </x:c>
    </x:row>
    <x:row r="54" ht="54" customHeight="1">
      <x:c r="A54" s="22" t="str">
        <x:v>CHEM003</x:v>
      </x:c>
      <x:c r="B54" s="22" t="str">
        <x:v>كيمياء</x:v>
      </x:c>
      <x:c r="C54" s="22" t="str">
        <x:v>العلوم الفيزيائية</x:v>
      </x:c>
      <x:c r="D54" s="22" t="str">
        <x:v>المادة وتفاعلاتها</x:v>
      </x:c>
      <x:c r="E54" s="22" t="str">
        <x:v>1-1-2-5-9</x:v>
      </x:c>
      <x:c r="F54" s="22" t="str">
        <x:v>حساب عمر النصف</x:v>
      </x:c>
      <x:c r="G54" s="22" t="str">
        <x:v>تطبيق</x:v>
      </x:c>
      <x:c r="H54" s="22" t="str">
        <x:v>متوسط</x:v>
      </x:c>
      <x:c r="I54" s="22" t="str">
        <x:v>اختيار من متعدد</x:v>
      </x:c>
      <x:c r="J54" s="20" t="str">
        <x:v>عينة مشعة كتلتها 80 g وعمر نصفها 5 أيام. ما كتلتها المتبقية بعد 15 يومًا؟</x:v>
      </x:c>
      <x:c r="K54" s="20" t="str">
        <x:v>40 g</x:v>
      </x:c>
      <x:c r="L54" s="20" t="str">
        <x:v>20 g</x:v>
      </x:c>
      <x:c r="M54" s="20" t="str">
        <x:v>10 g</x:v>
      </x:c>
      <x:c r="N54" s="20" t="str">
        <x:v>5 g</x:v>
      </x:c>
      <x:c r="O54" s="20" t="str">
        <x:v>ج</x:v>
      </x:c>
      <x:c r="P54" s="20" t="str">
        <x:v>15 يومًا = 3 أعمار نصف؛ 80 ← 40 ← 20 ← 10 غرامات.</x:v>
      </x:c>
      <x:c r="Q54" s="22" t="str">
        <x:v>رسم بياني</x:v>
      </x:c>
      <x:c r="R54" s="22" t="str">
        <x:v>منحنى تناقص الكمية إلى النصف كل 4 ساعات</x:v>
      </x:c>
      <x:c r="S54" s="22" t="str">
        <x:v>دفعة أولى – محاكي أصلي مبني على ناتج تعلم رسمي</x:v>
      </x:c>
      <x:c r="T54" s="22" t="str">
        <x:v>https://media.etec.gov.sa/media/sszdnh2h/%D9%86%D9%88%D8%A7%D8%AA%D8%AC-%D8%A7%D9%84%D8%AA%D8%B9%D9%84%D9%85-2026.pdf</x:v>
      </x:c>
      <x:c r="U54" t="str">
        <x:v>هيئة تقويم التعليم والتدريب – نواتج التعلم (صياغة أصلية)</x:v>
      </x:c>
    </x:row>
    <x:row r="55" ht="54" customHeight="1">
      <x:c r="A55" s="22" t="str">
        <x:v>CHEM004</x:v>
      </x:c>
      <x:c r="B55" s="22" t="str">
        <x:v>كيمياء</x:v>
      </x:c>
      <x:c r="C55" s="22" t="str">
        <x:v>العلوم الفيزيائية</x:v>
      </x:c>
      <x:c r="D55" s="22" t="str">
        <x:v>المادة وتفاعلاتها</x:v>
      </x:c>
      <x:c r="E55" s="22" t="str">
        <x:v>2-1-2-5-9</x:v>
      </x:c>
      <x:c r="F55" s="22" t="str">
        <x:v>اختيار طريقة فصل المخاليط</x:v>
      </x:c>
      <x:c r="G55" s="22" t="str">
        <x:v>تطبيق</x:v>
      </x:c>
      <x:c r="H55" s="22" t="str">
        <x:v>متوسط</x:v>
      </x:c>
      <x:c r="I55" s="22" t="str">
        <x:v>اختيار من متعدد</x:v>
      </x:c>
      <x:c r="J55" s="20" t="str">
        <x:v>ما الطريقة الأنسب لفصل برادة الحديد عن الرمل؟</x:v>
      </x:c>
      <x:c r="K55" s="20" t="str">
        <x:v>التقطير</x:v>
      </x:c>
      <x:c r="L55" s="20" t="str">
        <x:v>المغناطيس</x:v>
      </x:c>
      <x:c r="M55" s="20" t="str">
        <x:v>الترشيح فقط</x:v>
      </x:c>
      <x:c r="N55" s="20" t="str">
        <x:v>التبخير</x:v>
      </x:c>
      <x:c r="O55" s="20" t="str">
        <x:v>ب</x:v>
      </x:c>
      <x:c r="P55" s="20" t="str">
        <x:v>الحديد ينجذب إلى المغناطيس بينما الرمل لا ينجذب إليه.</x:v>
      </x:c>
      <x:c r="Q55" s="22" t="str">
        <x:v>نصي</x:v>
      </x:c>
      <x:c r="R55" s="22"/>
      <x:c r="S55" s="22" t="str">
        <x:v>دفعة أولى – محاكي أصلي مبني على ناتج تعلم رسمي</x:v>
      </x:c>
      <x:c r="T55" s="22" t="str">
        <x:v>https://media.etec.gov.sa/media/sszdnh2h/%D9%86%D9%88%D8%A7%D8%AA%D8%AC-%D8%A7%D9%84%D8%AA%D8%B9%D9%84%D9%85-2026.pdf</x:v>
      </x:c>
      <x:c r="U55" t="str">
        <x:v>هيئة تقويم التعليم والتدريب – نواتج التعلم (صياغة أصلية)</x:v>
      </x:c>
    </x:row>
    <x:row r="56" ht="54" customHeight="1">
      <x:c r="A56" s="22" t="str">
        <x:v>CHEM005</x:v>
      </x:c>
      <x:c r="B56" s="22" t="str">
        <x:v>كيمياء</x:v>
      </x:c>
      <x:c r="C56" s="22" t="str">
        <x:v>العلوم الفيزيائية</x:v>
      </x:c>
      <x:c r="D56" s="22" t="str">
        <x:v>المادة وتفاعلاتها</x:v>
      </x:c>
      <x:c r="E56" s="22" t="str">
        <x:v>3-1-2-5-9</x:v>
      </x:c>
      <x:c r="F56" s="22" t="str">
        <x:v>استنتاج أثر درجة الحرارة في الذائبية</x:v>
      </x:c>
      <x:c r="G56" s="22" t="str">
        <x:v>استدلال</x:v>
      </x:c>
      <x:c r="H56" s="22" t="str">
        <x:v>متوسط</x:v>
      </x:c>
      <x:c r="I56" s="22" t="str">
        <x:v>اختيار من متعدد</x:v>
      </x:c>
      <x:c r="J56" s="20" t="str">
        <x:v>يبين الرسم أن ذائبية مادة صلبة ترتفع من 20 g إلى 45 g لكل 100 g ماء عند رفع الحرارة من 20°C إلى 60°C. ما الاستنتاج الأدق؟</x:v>
      </x:c>
      <x:c r="K56" s="20" t="str">
        <x:v>تنخفض الذائبية بارتفاع الحرارة</x:v>
      </x:c>
      <x:c r="L56" s="20" t="str">
        <x:v>لا تتأثر الذائبية بالحرارة</x:v>
      </x:c>
      <x:c r="M56" s="20" t="str">
        <x:v>تزداد ذائبية هذه المادة بارتفاع الحرارة</x:v>
      </x:c>
      <x:c r="N56" s="20" t="str">
        <x:v>تتحول المادة إلى غاز</x:v>
      </x:c>
      <x:c r="O56" s="20" t="str">
        <x:v>ج</x:v>
      </x:c>
      <x:c r="P56" s="20" t="str">
        <x:v>البيانات تبين زيادة كمية المذاب الممكن ذوبانها مع زيادة درجة الحرارة.</x:v>
      </x:c>
      <x:c r="Q56" s="22" t="str">
        <x:v>رسم بياني</x:v>
      </x:c>
      <x:c r="R56" s="22" t="str">
        <x:v>منحنى ذائبية بسيط للمادة مقابل درجة الحرارة بالقيم المذكورة</x:v>
      </x:c>
      <x:c r="S56" s="22" t="str">
        <x:v>دفعة أولى – محاكي أصلي مبني على ناتج تعلم رسمي</x:v>
      </x:c>
      <x:c r="T56" s="22" t="str">
        <x:v>https://media.etec.gov.sa/media/sszdnh2h/%D9%86%D9%88%D8%A7%D8%AA%D8%AC-%D8%A7%D9%84%D8%AA%D8%B9%D9%84%D9%85-2026.pdf</x:v>
      </x:c>
      <x:c r="U56" t="str">
        <x:v>هيئة تقويم التعليم والتدريب – نواتج التعلم (صياغة أصلية)</x:v>
      </x:c>
    </x:row>
    <x:row r="57" ht="54" customHeight="1">
      <x:c r="A57" s="22" t="str">
        <x:v>CHEM006</x:v>
      </x:c>
      <x:c r="B57" s="22" t="str">
        <x:v>كيمياء</x:v>
      </x:c>
      <x:c r="C57" s="22" t="str">
        <x:v>العلوم الفيزيائية</x:v>
      </x:c>
      <x:c r="D57" s="22" t="str">
        <x:v>المادة وتفاعلاتها</x:v>
      </x:c>
      <x:c r="E57" s="22" t="str">
        <x:v>5-1-2-5-9</x:v>
      </x:c>
      <x:c r="F57" s="22" t="str">
        <x:v>استنتاج خواص العناصر من موقعها في الجدول الدوري</x:v>
      </x:c>
      <x:c r="G57" s="22" t="str">
        <x:v>تطبيق</x:v>
      </x:c>
      <x:c r="H57" s="22" t="str">
        <x:v>متوسط</x:v>
      </x:c>
      <x:c r="I57" s="22" t="str">
        <x:v>اختيار من متعدد</x:v>
      </x:c>
      <x:c r="J57" s="20" t="str">
        <x:v>عنصران يقعان في المجموعة نفسها من الجدول الدوري. ما الخاصية التي يُتوقع أن تكون أكثر تشابهًا بينهما؟</x:v>
      </x:c>
      <x:c r="K57" s="20" t="str">
        <x:v>عدد مستويات الطاقة</x:v>
      </x:c>
      <x:c r="L57" s="20" t="str">
        <x:v>الخواص الكيميائية المرتبطة بإلكترونات التكافؤ</x:v>
      </x:c>
      <x:c r="M57" s="20" t="str">
        <x:v>العدد الذري</x:v>
      </x:c>
      <x:c r="N57" s="20" t="str">
        <x:v>الكتلة الذرية تمامًا</x:v>
      </x:c>
      <x:c r="O57" s="20" t="str">
        <x:v>ب</x:v>
      </x:c>
      <x:c r="P57" s="20" t="str">
        <x:v>عناصر المجموعة الواحدة تتشابه غالبًا في عدد إلكترونات التكافؤ والخواص الكيميائية.</x:v>
      </x:c>
      <x:c r="Q57" s="22" t="str">
        <x:v>نصي</x:v>
      </x:c>
      <x:c r="R57" s="22"/>
      <x:c r="S57" s="22" t="str">
        <x:v>دفعة أولى – محاكي أصلي مبني على ناتج تعلم رسمي</x:v>
      </x:c>
      <x:c r="T57" s="22" t="str">
        <x:v>https://media.etec.gov.sa/media/sszdnh2h/%D9%86%D9%88%D8%A7%D8%AA%D8%AC-%D8%A7%D9%84%D8%AA%D8%B9%D9%84%D9%85-2026.pdf</x:v>
      </x:c>
      <x:c r="U57" t="str">
        <x:v>هيئة تقويم التعليم والتدريب – نواتج التعلم (صياغة أصلية)</x:v>
      </x:c>
    </x:row>
    <x:row r="58" ht="54" customHeight="1">
      <x:c r="A58" s="22" t="str">
        <x:v>CHEM007</x:v>
      </x:c>
      <x:c r="B58" s="22" t="str">
        <x:v>كيمياء</x:v>
      </x:c>
      <x:c r="C58" s="22" t="str">
        <x:v>العلوم الفيزيائية</x:v>
      </x:c>
      <x:c r="D58" s="22" t="str">
        <x:v>المادة وتفاعلاتها</x:v>
      </x:c>
      <x:c r="E58" s="22" t="str">
        <x:v>6-1-2-5-9</x:v>
      </x:c>
      <x:c r="F58" s="22" t="str">
        <x:v>استخدام الرقم الهيدروجيني في المقارنة بين الأحماض والقواعد</x:v>
      </x:c>
      <x:c r="G58" s="22" t="str">
        <x:v>تطبيق</x:v>
      </x:c>
      <x:c r="H58" s="22" t="str">
        <x:v>متوسط</x:v>
      </x:c>
      <x:c r="I58" s="22" t="str">
        <x:v>اختيار من متعدد</x:v>
      </x:c>
      <x:c r="J58" s="20" t="str">
        <x:v>أي محلول هو الأكثر قاعدية؟</x:v>
      </x:c>
      <x:c r="K58" s="20" t="str">
        <x:v>pH = 2</x:v>
      </x:c>
      <x:c r="L58" s="20" t="str">
        <x:v>pH = 5</x:v>
      </x:c>
      <x:c r="M58" s="20" t="str">
        <x:v>pH = 7</x:v>
      </x:c>
      <x:c r="N58" s="20" t="str">
        <x:v>pH = 12</x:v>
      </x:c>
      <x:c r="O58" s="20" t="str">
        <x:v>د</x:v>
      </x:c>
      <x:c r="P58" s="20" t="str">
        <x:v>كلما زادت قيمة pH فوق 7 زادت القاعدية.</x:v>
      </x:c>
      <x:c r="Q58" s="22" t="str">
        <x:v>نصي</x:v>
      </x:c>
      <x:c r="R58" s="22"/>
      <x:c r="S58" s="22" t="str">
        <x:v>دفعة أولى – محاكي أصلي مبني على ناتج تعلم رسمي</x:v>
      </x:c>
      <x:c r="T58" s="22" t="str">
        <x:v>https://media.etec.gov.sa/media/sszdnh2h/%D9%86%D9%88%D8%A7%D8%AA%D8%AC-%D8%A7%D9%84%D8%AA%D8%B9%D9%84%D9%85-2026.pdf</x:v>
      </x:c>
      <x:c r="U58" t="str">
        <x:v>هيئة تقويم التعليم والتدريب – نواتج التعلم (صياغة أصلية)</x:v>
      </x:c>
    </x:row>
    <x:row r="59" ht="54" customHeight="1">
      <x:c r="A59" s="22" t="str">
        <x:v>CHEM008</x:v>
      </x:c>
      <x:c r="B59" s="22" t="str">
        <x:v>كيمياء</x:v>
      </x:c>
      <x:c r="C59" s="22" t="str">
        <x:v>العلوم الفيزيائية</x:v>
      </x:c>
      <x:c r="D59" s="22" t="str">
        <x:v>المادة وتفاعلاتها</x:v>
      </x:c>
      <x:c r="E59" s="22" t="str">
        <x:v>7-1-2-5-9</x:v>
      </x:c>
      <x:c r="F59" s="22" t="str">
        <x:v>تمييز الروابط الكيميائية</x:v>
      </x:c>
      <x:c r="G59" s="22" t="str">
        <x:v>تطبيق</x:v>
      </x:c>
      <x:c r="H59" s="22" t="str">
        <x:v>متوسط</x:v>
      </x:c>
      <x:c r="I59" s="22" t="str">
        <x:v>اختيار من متعدد</x:v>
      </x:c>
      <x:c r="J59" s="20" t="str">
        <x:v>عندما تفقد ذرة فلز إلكترونًا وتكتسبه ذرة لافلز، ما نوع الرابطة التي تتكون غالبًا؟</x:v>
      </x:c>
      <x:c r="K59" s="20" t="str">
        <x:v>تساهمية</x:v>
      </x:c>
      <x:c r="L59" s="20" t="str">
        <x:v>أيونية</x:v>
      </x:c>
      <x:c r="M59" s="20" t="str">
        <x:v>فلزية</x:v>
      </x:c>
      <x:c r="N59" s="20" t="str">
        <x:v>هيدروجينية</x:v>
      </x:c>
      <x:c r="O59" s="20" t="str">
        <x:v>ب</x:v>
      </x:c>
      <x:c r="P59" s="20" t="str">
        <x:v>انتقال الإلكترونات بين فلز ولافلز يؤدي غالبًا إلى تكون أيونات متجاذبة ورابطة أيونية.</x:v>
      </x:c>
      <x:c r="Q59" s="22" t="str">
        <x:v>نصي</x:v>
      </x:c>
      <x:c r="R59" s="22"/>
      <x:c r="S59" s="22" t="str">
        <x:v>دفعة أولى – محاكي أصلي مبني على ناتج تعلم رسمي</x:v>
      </x:c>
      <x:c r="T59" s="22" t="str">
        <x:v>https://media.etec.gov.sa/media/sszdnh2h/%D9%86%D9%88%D8%A7%D8%AA%D8%AC-%D8%A7%D9%84%D8%AA%D8%B9%D9%84%D9%85-2026.pdf</x:v>
      </x:c>
      <x:c r="U59" t="str">
        <x:v>هيئة تقويم التعليم والتدريب – نواتج التعلم (صياغة أصلية)</x:v>
      </x:c>
    </x:row>
    <x:row r="60" ht="54" customHeight="1">
      <x:c r="A60" s="22" t="str">
        <x:v>CHEM009</x:v>
      </x:c>
      <x:c r="B60" s="22" t="str">
        <x:v>كيمياء</x:v>
      </x:c>
      <x:c r="C60" s="22" t="str">
        <x:v>العلوم الفيزيائية</x:v>
      </x:c>
      <x:c r="D60" s="22" t="str">
        <x:v>المادة وتفاعلاتها</x:v>
      </x:c>
      <x:c r="E60" s="22" t="str">
        <x:v>8-1-2-5-9</x:v>
      </x:c>
      <x:c r="F60" s="22" t="str">
        <x:v>تطبيق قانون حفظ الكتلة</x:v>
      </x:c>
      <x:c r="G60" s="22" t="str">
        <x:v>تطبيق</x:v>
      </x:c>
      <x:c r="H60" s="22" t="str">
        <x:v>متوسط</x:v>
      </x:c>
      <x:c r="I60" s="22" t="str">
        <x:v>اختيار من متعدد</x:v>
      </x:c>
      <x:c r="J60" s="20" t="str">
        <x:v>تفاعل 12 g من مادة مع 8 g من مادة أخرى في نظام مغلق. إذا تكوّن ناتج واحد فقط، فما كتلته؟</x:v>
      </x:c>
      <x:c r="K60" s="20" t="str">
        <x:v>4 g</x:v>
      </x:c>
      <x:c r="L60" s="20" t="str">
        <x:v>10 g</x:v>
      </x:c>
      <x:c r="M60" s="20" t="str">
        <x:v>20 g</x:v>
      </x:c>
      <x:c r="N60" s="20" t="str">
        <x:v>96 g</x:v>
      </x:c>
      <x:c r="O60" s="20" t="str">
        <x:v>ج</x:v>
      </x:c>
      <x:c r="P60" s="20" t="str">
        <x:v>في النظام المغلق تُحفظ الكتلة؛ مجموع كتل المتفاعلات = 20 g.</x:v>
      </x:c>
      <x:c r="Q60" s="22" t="str">
        <x:v>نصي</x:v>
      </x:c>
      <x:c r="R60" s="22"/>
      <x:c r="S60" s="22" t="str">
        <x:v>دفعة أولى – محاكي أصلي مبني على ناتج تعلم رسمي</x:v>
      </x:c>
      <x:c r="T60" s="22" t="str">
        <x:v>https://media.etec.gov.sa/media/sszdnh2h/%D9%86%D9%88%D8%A7%D8%AA%D8%AC-%D8%A7%D9%84%D8%AA%D8%B9%D9%84%D9%85-2026.pdf</x:v>
      </x:c>
      <x:c r="U60" t="str">
        <x:v>هيئة تقويم التعليم والتدريب – نواتج التعلم (صياغة أصلية)</x:v>
      </x:c>
    </x:row>
    <x:row r="61" ht="54" customHeight="1">
      <x:c r="A61" s="22" t="str">
        <x:v>CHEM010</x:v>
      </x:c>
      <x:c r="B61" s="22" t="str">
        <x:v>كيمياء</x:v>
      </x:c>
      <x:c r="C61" s="22" t="str">
        <x:v>العلوم الفيزيائية</x:v>
      </x:c>
      <x:c r="D61" s="22" t="str">
        <x:v>المادة وتفاعلاتها</x:v>
      </x:c>
      <x:c r="E61" s="22" t="str">
        <x:v>8-1-2-5-9</x:v>
      </x:c>
      <x:c r="F61" s="22" t="str">
        <x:v>تمييز التفاعل الطارد والماص</x:v>
      </x:c>
      <x:c r="G61" s="22" t="str">
        <x:v>تطبيق</x:v>
      </x:c>
      <x:c r="H61" s="22" t="str">
        <x:v>متوسط</x:v>
      </x:c>
      <x:c r="I61" s="22" t="str">
        <x:v>اختيار من متعدد</x:v>
      </x:c>
      <x:c r="J61" s="20" t="str">
        <x:v>انخفضت درجة حرارة الوسط المحيط أثناء تفاعل كيميائي لأن التفاعل امتص طاقة حرارية منه. كيف يصنف التفاعل؟</x:v>
      </x:c>
      <x:c r="K61" s="20" t="str">
        <x:v>طارد للحرارة</x:v>
      </x:c>
      <x:c r="L61" s="20" t="str">
        <x:v>ماص للحرارة</x:v>
      </x:c>
      <x:c r="M61" s="20" t="str">
        <x:v>تعادل فقط</x:v>
      </x:c>
      <x:c r="N61" s="20" t="str">
        <x:v>احتراق دائمًا</x:v>
      </x:c>
      <x:c r="O61" s="20" t="str">
        <x:v>ب</x:v>
      </x:c>
      <x:c r="P61" s="20" t="str">
        <x:v>التفاعل الماص للحرارة يمتص الطاقة من الوسط المحيط.</x:v>
      </x:c>
      <x:c r="Q61" s="22" t="str">
        <x:v>نصي</x:v>
      </x:c>
      <x:c r="R61" s="22"/>
      <x:c r="S61" s="22" t="str">
        <x:v>دفعة أولى – محاكي أصلي مبني على ناتج تعلم رسمي</x:v>
      </x:c>
      <x:c r="T61" s="22" t="str">
        <x:v>https://media.etec.gov.sa/media/sszdnh2h/%D9%86%D9%88%D8%A7%D8%AA%D8%AC-%D8%A7%D9%84%D8%AA%D8%B9%D9%84%D9%85-2026.pdf</x:v>
      </x:c>
      <x:c r="U61" t="str">
        <x:v>هيئة تقويم التعليم والتدريب – نواتج التعلم (صياغة أصلية)</x:v>
      </x:c>
    </x:row>
    <x:row r="62" ht="54" customHeight="1">
      <x:c r="A62" s="22" t="str">
        <x:v>CHEM011</x:v>
      </x:c>
      <x:c r="B62" s="22" t="str">
        <x:v>كيمياء</x:v>
      </x:c>
      <x:c r="C62" s="22" t="str">
        <x:v>العلوم الفيزيائية</x:v>
      </x:c>
      <x:c r="D62" s="22" t="str">
        <x:v>المادة وتفاعلاتها</x:v>
      </x:c>
      <x:c r="E62" s="22" t="str">
        <x:v>1-1-2-5-9</x:v>
      </x:c>
      <x:c r="F62" s="22" t="str">
        <x:v>حساب الشحنة من البروتونات والإلكترونات</x:v>
      </x:c>
      <x:c r="G62" s="22" t="str">
        <x:v>تطبيق</x:v>
      </x:c>
      <x:c r="H62" s="22" t="str">
        <x:v>متوسط</x:v>
      </x:c>
      <x:c r="I62" s="22" t="str">
        <x:v>اختيار من متعدد</x:v>
      </x:c>
      <x:c r="J62" s="20" t="str">
        <x:v>ذرة تحتوي 12 بروتونًا و10 إلكترونات. ما شحنتها؟</x:v>
      </x:c>
      <x:c r="K62" s="20" t="str">
        <x:v>2-</x:v>
      </x:c>
      <x:c r="L62" s="20" t="str">
        <x:v>1-</x:v>
      </x:c>
      <x:c r="M62" s="20" t="str">
        <x:v>1+</x:v>
      </x:c>
      <x:c r="N62" s="20" t="str">
        <x:v>2+</x:v>
      </x:c>
      <x:c r="O62" s="20" t="str">
        <x:v>د</x:v>
      </x:c>
      <x:c r="P62" s="20" t="str">
        <x:v>عدد البروتونات يزيد على الإلكترونات باثنين؛ لذلك الشحنة الكلية 2+.</x:v>
      </x:c>
      <x:c r="Q62" s="22" t="str">
        <x:v>رسم</x:v>
      </x:c>
      <x:c r="R62" s="22" t="str">
        <x:v>مخطط ذرة يوضح 12 بروتونًا و10 إلكترونات</x:v>
      </x:c>
      <x:c r="S62" s="22" t="str">
        <x:v>محاكي أصلي مستلهم من نمط نافس ومبني على ناتج تعلم رسمي</x:v>
      </x:c>
      <x:c r="T62" s="22" t="str">
        <x:v>https://media.etec.gov.sa/media/sszdnh2h/%D9%86%D9%88%D8%A7%D8%AA%D8%AC-%D8%A7%D9%84%D8%AA%D8%B9%D9%84%D9%85-2026.pdf</x:v>
      </x:c>
      <x:c r="U62" t="str">
        <x:v>هيئة تقويم التعليم والتدريب – نواتج التعلم (صياغة أصلية)</x:v>
      </x:c>
    </x:row>
    <x:row r="63" ht="54" customHeight="1">
      <x:c r="A63" s="22" t="str">
        <x:v>CHEM012</x:v>
      </x:c>
      <x:c r="B63" s="22" t="str">
        <x:v>كيمياء</x:v>
      </x:c>
      <x:c r="C63" s="22" t="str">
        <x:v>العلوم الفيزيائية</x:v>
      </x:c>
      <x:c r="D63" s="22" t="str">
        <x:v>المادة وتفاعلاتها</x:v>
      </x:c>
      <x:c r="E63" s="22" t="str">
        <x:v>1-1-2-5-9</x:v>
      </x:c>
      <x:c r="F63" s="22" t="str">
        <x:v>تمييز النظائر</x:v>
      </x:c>
      <x:c r="G63" s="22" t="str">
        <x:v>تطبيق</x:v>
      </x:c>
      <x:c r="H63" s="22" t="str">
        <x:v>متوسط</x:v>
      </x:c>
      <x:c r="I63" s="22" t="str">
        <x:v>اختيار من متعدد</x:v>
      </x:c>
      <x:c r="J63" s="20" t="str">
        <x:v>ذرتان لهما 8 بروتونات، إحداهما تحتوي 8 نيوترونات والأخرى 10. ما العلاقة بينهما؟</x:v>
      </x:c>
      <x:c r="K63" s="20" t="str">
        <x:v>عنصران مختلفان</x:v>
      </x:c>
      <x:c r="L63" s="20" t="str">
        <x:v>نظيران للعنصر نفسه</x:v>
      </x:c>
      <x:c r="M63" s="20" t="str">
        <x:v>أيونان بشحنتين مختلفتين بالضرورة</x:v>
      </x:c>
      <x:c r="N63" s="20" t="str">
        <x:v>مركبان</x:v>
      </x:c>
      <x:c r="O63" s="20" t="str">
        <x:v>ب</x:v>
      </x:c>
      <x:c r="P63" s="20" t="str">
        <x:v>العدد الذري ثابت، والاختلاف في عدد النيوترونات يعني أنهما نظيران.</x:v>
      </x:c>
      <x:c r="Q63" s="22" t="str">
        <x:v>نصي</x:v>
      </x:c>
      <x:c r="R63" s="22"/>
      <x:c r="S63" s="22" t="str">
        <x:v>محاكي أصلي مستلهم من نمط نافس ومبني على ناتج تعلم رسمي</x:v>
      </x:c>
      <x:c r="T63" s="22" t="str">
        <x:v>https://media.etec.gov.sa/media/sszdnh2h/%D9%86%D9%88%D8%A7%D8%AA%D8%AC-%D8%A7%D9%84%D8%AA%D8%B9%D9%84%D9%85-2026.pdf</x:v>
      </x:c>
      <x:c r="U63" t="str">
        <x:v>هيئة تقويم التعليم والتدريب – نواتج التعلم (صياغة أصلية)</x:v>
      </x:c>
    </x:row>
    <x:row r="64" ht="54" customHeight="1">
      <x:c r="A64" s="22" t="str">
        <x:v>CHEM013</x:v>
      </x:c>
      <x:c r="B64" s="22" t="str">
        <x:v>كيمياء</x:v>
      </x:c>
      <x:c r="C64" s="22" t="str">
        <x:v>العلوم الفيزيائية</x:v>
      </x:c>
      <x:c r="D64" s="22" t="str">
        <x:v>المادة وتفاعلاتها</x:v>
      </x:c>
      <x:c r="E64" s="22" t="str">
        <x:v>1-1-2-5-9</x:v>
      </x:c>
      <x:c r="F64" s="22" t="str">
        <x:v>إلكترونات التكافؤ</x:v>
      </x:c>
      <x:c r="G64" s="22" t="str">
        <x:v>تطبيق</x:v>
      </x:c>
      <x:c r="H64" s="22" t="str">
        <x:v>متوسط</x:v>
      </x:c>
      <x:c r="I64" s="22" t="str">
        <x:v>اختيار من متعدد</x:v>
      </x:c>
      <x:c r="J64" s="20" t="str">
        <x:v>عنصر من عناصر المجموعة 17 لديه سبعة إلكترونات تكافؤ. ما التغير الأكثر احتمالًا ليصل إلى استقرار إلكتروني؟</x:v>
      </x:c>
      <x:c r="K64" s="20" t="str">
        <x:v>يفقد 7 إلكترونات</x:v>
      </x:c>
      <x:c r="L64" s="20" t="str">
        <x:v>يكتسب إلكترونًا واحدًا</x:v>
      </x:c>
      <x:c r="M64" s="20" t="str">
        <x:v>يفقد إلكترونًا واحدًا دائمًا</x:v>
      </x:c>
      <x:c r="N64" s="20" t="str">
        <x:v>يكتسب 7 بروتونات</x:v>
      </x:c>
      <x:c r="O64" s="20" t="str">
        <x:v>ب</x:v>
      </x:c>
      <x:c r="P64" s="20" t="str">
        <x:v>عناصر المجموعة 17 تميل إلى اكتساب إلكترون واحد لإكمال مستوى التكافؤ.</x:v>
      </x:c>
      <x:c r="Q64" s="22" t="str">
        <x:v>نصي</x:v>
      </x:c>
      <x:c r="R64" s="22"/>
      <x:c r="S64" s="22" t="str">
        <x:v>محاكي أصلي مستلهم من نمط نافس ومبني على ناتج تعلم رسمي</x:v>
      </x:c>
      <x:c r="T64" s="22" t="str">
        <x:v>https://media.etec.gov.sa/media/sszdnh2h/%D9%86%D9%88%D8%A7%D8%AA%D8%AC-%D8%A7%D9%84%D8%AA%D8%B9%D9%84%D9%85-2026.pdf</x:v>
      </x:c>
      <x:c r="U64" t="str">
        <x:v>هيئة تقويم التعليم والتدريب – نواتج التعلم (صياغة أصلية)</x:v>
      </x:c>
    </x:row>
    <x:row r="65" ht="54" customHeight="1">
      <x:c r="A65" s="22" t="str">
        <x:v>CHEM014</x:v>
      </x:c>
      <x:c r="B65" s="22" t="str">
        <x:v>كيمياء</x:v>
      </x:c>
      <x:c r="C65" s="22" t="str">
        <x:v>العلوم الفيزيائية</x:v>
      </x:c>
      <x:c r="D65" s="22" t="str">
        <x:v>المادة وتفاعلاتها</x:v>
      </x:c>
      <x:c r="E65" s="22" t="str">
        <x:v>1-1-2-5-9</x:v>
      </x:c>
      <x:c r="F65" s="22" t="str">
        <x:v>تكوين الأيونات</x:v>
      </x:c>
      <x:c r="G65" s="22" t="str">
        <x:v>تطبيق</x:v>
      </x:c>
      <x:c r="H65" s="22" t="str">
        <x:v>متوسط</x:v>
      </x:c>
      <x:c r="I65" s="22" t="str">
        <x:v>اختيار من متعدد</x:v>
      </x:c>
      <x:c r="J65" s="20" t="str">
        <x:v>عندما تفقد ذرة الصوديوم إلكترونًا واحدًا فإنها تصبح:</x:v>
      </x:c>
      <x:c r="K65" s="20" t="str">
        <x:v>أيونًا موجبًا +1</x:v>
      </x:c>
      <x:c r="L65" s="20" t="str">
        <x:v>أيونًا سالبًا -1</x:v>
      </x:c>
      <x:c r="M65" s="20" t="str">
        <x:v>نظيرًا جديدًا</x:v>
      </x:c>
      <x:c r="N65" s="20" t="str">
        <x:v>ذرة متعادلة أكبر</x:v>
      </x:c>
      <x:c r="O65" s="20" t="str">
        <x:v>أ</x:v>
      </x:c>
      <x:c r="P65" s="20" t="str">
        <x:v>فقد إلكترون يترك عدد البروتونات أكبر من الإلكترونات بواحد فتتكون شحنة +1.</x:v>
      </x:c>
      <x:c r="Q65" s="22" t="str">
        <x:v>نصي</x:v>
      </x:c>
      <x:c r="R65" s="22"/>
      <x:c r="S65" s="22" t="str">
        <x:v>محاكي أصلي مستلهم من نمط نافس ومبني على ناتج تعلم رسمي</x:v>
      </x:c>
      <x:c r="T65" s="22" t="str">
        <x:v>https://media.etec.gov.sa/media/sszdnh2h/%D9%86%D9%88%D8%A7%D8%AA%D8%AC-%D8%A7%D9%84%D8%AA%D8%B9%D9%84%D9%85-2026.pdf</x:v>
      </x:c>
      <x:c r="U65" t="str">
        <x:v>هيئة تقويم التعليم والتدريب – نواتج التعلم (صياغة أصلية)</x:v>
      </x:c>
    </x:row>
    <x:row r="66" ht="54" customHeight="1">
      <x:c r="A66" s="22" t="str">
        <x:v>CHEM015</x:v>
      </x:c>
      <x:c r="B66" s="22" t="str">
        <x:v>كيمياء</x:v>
      </x:c>
      <x:c r="C66" s="22" t="str">
        <x:v>العلوم الفيزيائية</x:v>
      </x:c>
      <x:c r="D66" s="22" t="str">
        <x:v>المادة وتفاعلاتها</x:v>
      </x:c>
      <x:c r="E66" s="22" t="str">
        <x:v>1-1-2-5-9</x:v>
      </x:c>
      <x:c r="F66" s="22" t="str">
        <x:v>أهمية العدد الذري</x:v>
      </x:c>
      <x:c r="G66" s="22" t="str">
        <x:v>معرفة</x:v>
      </x:c>
      <x:c r="H66" s="22" t="str">
        <x:v>سهل</x:v>
      </x:c>
      <x:c r="I66" s="22" t="str">
        <x:v>اختيار من متعدد</x:v>
      </x:c>
      <x:c r="J66" s="20" t="str">
        <x:v>أي خاصية تحدد هوية العنصر بصورة أساسية؟</x:v>
      </x:c>
      <x:c r="K66" s="20" t="str">
        <x:v>عدد البروتونات</x:v>
      </x:c>
      <x:c r="L66" s="20" t="str">
        <x:v>عدد النيوترونات فقط</x:v>
      </x:c>
      <x:c r="M66" s="20" t="str">
        <x:v>عدد مستويات الطاقة فقط</x:v>
      </x:c>
      <x:c r="N66" s="20" t="str">
        <x:v>الكتلة الكلية للعينة</x:v>
      </x:c>
      <x:c r="O66" s="20" t="str">
        <x:v>أ</x:v>
      </x:c>
      <x:c r="P66" s="20" t="str">
        <x:v>العدد الذري، أي عدد البروتونات، يحدد نوع العنصر.</x:v>
      </x:c>
      <x:c r="Q66" s="22" t="str">
        <x:v>نصي</x:v>
      </x:c>
      <x:c r="R66" s="22"/>
      <x:c r="S66" s="22" t="str">
        <x:v>محاكي أصلي مستلهم من نمط نافس ومبني على ناتج تعلم رسمي</x:v>
      </x:c>
      <x:c r="T66" s="22" t="str">
        <x:v>https://media.etec.gov.sa/media/sszdnh2h/%D9%86%D9%88%D8%A7%D8%AA%D8%AC-%D8%A7%D9%84%D8%AA%D8%B9%D9%84%D9%85-2026.pdf</x:v>
      </x:c>
      <x:c r="U66" t="str">
        <x:v>هيئة تقويم التعليم والتدريب – نواتج التعلم (صياغة أصلية)</x:v>
      </x:c>
    </x:row>
    <x:row r="67" ht="54" customHeight="1">
      <x:c r="A67" s="22" t="str">
        <x:v>CHEM016</x:v>
      </x:c>
      <x:c r="B67" s="22" t="str">
        <x:v>كيمياء</x:v>
      </x:c>
      <x:c r="C67" s="22" t="str">
        <x:v>العلوم الفيزيائية</x:v>
      </x:c>
      <x:c r="D67" s="22" t="str">
        <x:v>المادة وتفاعلاتها</x:v>
      </x:c>
      <x:c r="E67" s="22" t="str">
        <x:v>1-1-2-5-9</x:v>
      </x:c>
      <x:c r="F67" s="22" t="str">
        <x:v>حساب العدد الكتلي</x:v>
      </x:c>
      <x:c r="G67" s="22" t="str">
        <x:v>تطبيق</x:v>
      </x:c>
      <x:c r="H67" s="22" t="str">
        <x:v>سهل</x:v>
      </x:c>
      <x:c r="I67" s="22" t="str">
        <x:v>اختيار من متعدد</x:v>
      </x:c>
      <x:c r="J67" s="20" t="str">
        <x:v>نواة ذرة فيها 15 بروتونًا و16 نيوترونًا. ما عددها الكتلي؟</x:v>
      </x:c>
      <x:c r="K67" s="20" t="str">
        <x:v>15</x:v>
      </x:c>
      <x:c r="L67" s="20" t="str">
        <x:v>16</x:v>
      </x:c>
      <x:c r="M67" s="20" t="str">
        <x:v>31</x:v>
      </x:c>
      <x:c r="N67" s="20" t="str">
        <x:v>1</x:v>
      </x:c>
      <x:c r="O67" s="20" t="str">
        <x:v>ج</x:v>
      </x:c>
      <x:c r="P67" s="20" t="str">
        <x:v>العدد الكتلي = البروتونات + النيوترونات = 31.</x:v>
      </x:c>
      <x:c r="Q67" s="22" t="str">
        <x:v>نصي</x:v>
      </x:c>
      <x:c r="R67" s="22"/>
      <x:c r="S67" s="22" t="str">
        <x:v>محاكي أصلي مستلهم من نمط نافس ومبني على ناتج تعلم رسمي</x:v>
      </x:c>
      <x:c r="T67" s="22" t="str">
        <x:v>https://media.etec.gov.sa/media/sszdnh2h/%D9%86%D9%88%D8%A7%D8%AA%D8%AC-%D8%A7%D9%84%D8%AA%D8%B9%D9%84%D9%85-2026.pdf</x:v>
      </x:c>
      <x:c r="U67" t="str">
        <x:v>هيئة تقويم التعليم والتدريب – نواتج التعلم (صياغة أصلية)</x:v>
      </x:c>
    </x:row>
    <x:row r="68" ht="54" customHeight="1">
      <x:c r="A68" s="22" t="str">
        <x:v>CHEM017</x:v>
      </x:c>
      <x:c r="B68" s="22" t="str">
        <x:v>كيمياء</x:v>
      </x:c>
      <x:c r="C68" s="22" t="str">
        <x:v>العلوم الفيزيائية</x:v>
      </x:c>
      <x:c r="D68" s="22" t="str">
        <x:v>المادة وتفاعلاتها</x:v>
      </x:c>
      <x:c r="E68" s="22" t="str">
        <x:v>5-1-2-5-9</x:v>
      </x:c>
      <x:c r="F68" s="22" t="str">
        <x:v>خواص عناصر المجموعة الواحدة</x:v>
      </x:c>
      <x:c r="G68" s="22" t="str">
        <x:v>استدلال</x:v>
      </x:c>
      <x:c r="H68" s="22" t="str">
        <x:v>متوسط</x:v>
      </x:c>
      <x:c r="I68" s="22" t="str">
        <x:v>اختيار من متعدد</x:v>
      </x:c>
      <x:c r="J68" s="20" t="str">
        <x:v>إذا تشابه عنصر مجهول مع الصوديوم في تفاعلاته الكيميائية، فأين يُرجح موقعه؟</x:v>
      </x:c>
      <x:c r="K68" s="20" t="str">
        <x:v>في المجموعة نفسها للصوديوم</x:v>
      </x:c>
      <x:c r="L68" s="20" t="str">
        <x:v>في الدورة نفسها فقط مهما كانت المجموعة</x:v>
      </x:c>
      <x:c r="M68" s="20" t="str">
        <x:v>بين الغازات النبيلة حتمًا</x:v>
      </x:c>
      <x:c r="N68" s="20" t="str">
        <x:v>خارج الجدول الدوري</x:v>
      </x:c>
      <x:c r="O68" s="20" t="str">
        <x:v>أ</x:v>
      </x:c>
      <x:c r="P68" s="20" t="str">
        <x:v>عناصر المجموعة الواحدة تتشابه في إلكترونات التكافؤ والخواص الكيميائية.</x:v>
      </x:c>
      <x:c r="Q68" s="22" t="str">
        <x:v>نصي</x:v>
      </x:c>
      <x:c r="R68" s="22"/>
      <x:c r="S68" s="22" t="str">
        <x:v>محاكي أصلي مستلهم من نمط نافس ومبني على ناتج تعلم رسمي</x:v>
      </x:c>
      <x:c r="T68" s="22" t="str">
        <x:v>https://media.etec.gov.sa/media/sszdnh2h/%D9%86%D9%88%D8%A7%D8%AA%D8%AC-%D8%A7%D9%84%D8%AA%D8%B9%D9%84%D9%85-2026.pdf</x:v>
      </x:c>
      <x:c r="U68" t="str">
        <x:v>هيئة تقويم التعليم والتدريب – نواتج التعلم (صياغة أصلية)</x:v>
      </x:c>
    </x:row>
    <x:row r="69" ht="54" customHeight="1">
      <x:c r="A69" s="22" t="str">
        <x:v>CHEM018</x:v>
      </x:c>
      <x:c r="B69" s="22" t="str">
        <x:v>كيمياء</x:v>
      </x:c>
      <x:c r="C69" s="22" t="str">
        <x:v>العلوم الفيزيائية</x:v>
      </x:c>
      <x:c r="D69" s="22" t="str">
        <x:v>المادة وتفاعلاتها</x:v>
      </x:c>
      <x:c r="E69" s="22" t="str">
        <x:v>5-1-2-5-9</x:v>
      </x:c>
      <x:c r="F69" s="22" t="str">
        <x:v>العلاقة بين الدورة ومستويات الطاقة</x:v>
      </x:c>
      <x:c r="G69" s="22" t="str">
        <x:v>تطبيق</x:v>
      </x:c>
      <x:c r="H69" s="22" t="str">
        <x:v>متوسط</x:v>
      </x:c>
      <x:c r="I69" s="22" t="str">
        <x:v>اختيار من متعدد</x:v>
      </x:c>
      <x:c r="J69" s="20" t="str">
        <x:v>عنصر يقع في الدورة الثالثة من الجدول الدوري. كم مستوى طاقة رئيسيًا مشغولًا لديه عادة؟</x:v>
      </x:c>
      <x:c r="K69" s="20" t="str">
        <x:v>1</x:v>
      </x:c>
      <x:c r="L69" s="20" t="str">
        <x:v>2</x:v>
      </x:c>
      <x:c r="M69" s="20" t="str">
        <x:v>3</x:v>
      </x:c>
      <x:c r="N69" s="20" t="str">
        <x:v>8</x:v>
      </x:c>
      <x:c r="O69" s="20" t="str">
        <x:v>ج</x:v>
      </x:c>
      <x:c r="P69" s="20" t="str">
        <x:v>رقم الدورة يرتبط بعدد مستويات الطاقة الرئيسة المشغولة.</x:v>
      </x:c>
      <x:c r="Q69" s="22" t="str">
        <x:v>صورة</x:v>
      </x:c>
      <x:c r="R69" s="22" t="str">
        <x:v>جزء مبسط من الجدول الدوري يبرز الدورة الثالثة</x:v>
      </x:c>
      <x:c r="S69" s="22" t="str">
        <x:v>محاكي أصلي مستلهم من نمط نافس ومبني على ناتج تعلم رسمي</x:v>
      </x:c>
      <x:c r="T69" s="22" t="str">
        <x:v>https://media.etec.gov.sa/media/sszdnh2h/%D9%86%D9%88%D8%A7%D8%AA%D8%AC-%D8%A7%D9%84%D8%AA%D8%B9%D9%84%D9%85-2026.pdf</x:v>
      </x:c>
      <x:c r="U69" t="str">
        <x:v>هيئة تقويم التعليم والتدريب – نواتج التعلم (صياغة أصلية)</x:v>
      </x:c>
    </x:row>
    <x:row r="70" ht="54" customHeight="1">
      <x:c r="A70" s="22" t="str">
        <x:v>CHEM019</x:v>
      </x:c>
      <x:c r="B70" s="22" t="str">
        <x:v>كيمياء</x:v>
      </x:c>
      <x:c r="C70" s="22" t="str">
        <x:v>العلوم الفيزيائية</x:v>
      </x:c>
      <x:c r="D70" s="22" t="str">
        <x:v>المادة وتفاعلاتها</x:v>
      </x:c>
      <x:c r="E70" s="22" t="str">
        <x:v>5-1-2-5-9</x:v>
      </x:c>
      <x:c r="F70" s="22" t="str">
        <x:v>مقارنة نشاط الفلزات القلوية</x:v>
      </x:c>
      <x:c r="G70" s="22" t="str">
        <x:v>استدلال</x:v>
      </x:c>
      <x:c r="H70" s="22" t="str">
        <x:v>صعب</x:v>
      </x:c>
      <x:c r="I70" s="22" t="str">
        <x:v>اختيار من متعدد</x:v>
      </x:c>
      <x:c r="J70" s="20" t="str">
        <x:v>أي وصف عام يتفق مع عناصر المجموعة الأولى عند الانتقال إلى أسفل المجموعة؟</x:v>
      </x:c>
      <x:c r="K70" s="20" t="str">
        <x:v>تميل فلزيتها ونشاطها إلى الزيادة</x:v>
      </x:c>
      <x:c r="L70" s="20" t="str">
        <x:v>تتحول إلى لافلزات</x:v>
      </x:c>
      <x:c r="M70" s="20" t="str">
        <x:v>تفقد جميع مستويات الطاقة</x:v>
      </x:c>
      <x:c r="N70" s="20" t="str">
        <x:v>تصبح غازات نبيلة</x:v>
      </x:c>
      <x:c r="O70" s="20" t="str">
        <x:v>أ</x:v>
      </x:c>
      <x:c r="P70" s="20" t="str">
        <x:v>يزداد الطابع الفلزي ويزداد عادة نشاط الفلزات القلوية نزولًا في المجموعة.</x:v>
      </x:c>
      <x:c r="Q70" s="22" t="str">
        <x:v>نصي</x:v>
      </x:c>
      <x:c r="R70" s="22"/>
      <x:c r="S70" s="22" t="str">
        <x:v>محاكي أصلي مستلهم من نمط نافس ومبني على ناتج تعلم رسمي</x:v>
      </x:c>
      <x:c r="T70" s="22" t="str">
        <x:v>https://media.etec.gov.sa/media/sszdnh2h/%D9%86%D9%88%D8%A7%D8%AA%D8%AC-%D8%A7%D9%84%D8%AA%D8%B9%D9%84%D9%85-2026.pdf</x:v>
      </x:c>
      <x:c r="U70" t="str">
        <x:v>هيئة تقويم التعليم والتدريب – نواتج التعلم (صياغة أصلية)</x:v>
      </x:c>
    </x:row>
    <x:row r="71" ht="54" customHeight="1">
      <x:c r="A71" s="22" t="str">
        <x:v>CHEM020</x:v>
      </x:c>
      <x:c r="B71" s="22" t="str">
        <x:v>كيمياء</x:v>
      </x:c>
      <x:c r="C71" s="22" t="str">
        <x:v>العلوم الفيزيائية</x:v>
      </x:c>
      <x:c r="D71" s="22" t="str">
        <x:v>المادة وتفاعلاتها</x:v>
      </x:c>
      <x:c r="E71" s="22" t="str">
        <x:v>5-1-2-5-9</x:v>
      </x:c>
      <x:c r="F71" s="22" t="str">
        <x:v>استقرار الغازات النبيلة</x:v>
      </x:c>
      <x:c r="G71" s="22" t="str">
        <x:v>معرفة</x:v>
      </x:c>
      <x:c r="H71" s="22" t="str">
        <x:v>سهل</x:v>
      </x:c>
      <x:c r="I71" s="22" t="str">
        <x:v>اختيار من متعدد</x:v>
      </x:c>
      <x:c r="J71" s="20" t="str">
        <x:v>لماذا تكون الغازات النبيلة قليلة التفاعل نسبيًا؟</x:v>
      </x:c>
      <x:c r="K71" s="20" t="str">
        <x:v>لأن مستوى التكافؤ لديها مكتمل غالبًا</x:v>
      </x:c>
      <x:c r="L71" s="20" t="str">
        <x:v>لأنها بلا إلكترونات</x:v>
      </x:c>
      <x:c r="M71" s="20" t="str">
        <x:v>لأنها بلا نواة</x:v>
      </x:c>
      <x:c r="N71" s="20" t="str">
        <x:v>لأنها جميعًا فلزات</x:v>
      </x:c>
      <x:c r="O71" s="20" t="str">
        <x:v>أ</x:v>
      </x:c>
      <x:c r="P71" s="20" t="str">
        <x:v>امتلاء مستوى التكافؤ يجعلها أكثر استقرارًا وأقل ميلًا للتفاعل.</x:v>
      </x:c>
      <x:c r="Q71" s="22" t="str">
        <x:v>نصي</x:v>
      </x:c>
      <x:c r="R71" s="22"/>
      <x:c r="S71" s="22" t="str">
        <x:v>محاكي أصلي مستلهم من نمط نافس ومبني على ناتج تعلم رسمي</x:v>
      </x:c>
      <x:c r="T71" s="22" t="str">
        <x:v>https://media.etec.gov.sa/media/sszdnh2h/%D9%86%D9%88%D8%A7%D8%AA%D8%AC-%D8%A7%D9%84%D8%AA%D8%B9%D9%84%D9%85-2026.pdf</x:v>
      </x:c>
      <x:c r="U71" t="str">
        <x:v>هيئة تقويم التعليم والتدريب – نواتج التعلم (صياغة أصلية)</x:v>
      </x:c>
    </x:row>
    <x:row r="72" ht="54" customHeight="1">
      <x:c r="A72" s="22" t="str">
        <x:v>CHEM021</x:v>
      </x:c>
      <x:c r="B72" s="22" t="str">
        <x:v>كيمياء</x:v>
      </x:c>
      <x:c r="C72" s="22" t="str">
        <x:v>العلوم الفيزيائية</x:v>
      </x:c>
      <x:c r="D72" s="22" t="str">
        <x:v>المادة وتفاعلاتها</x:v>
      </x:c>
      <x:c r="E72" s="22" t="str">
        <x:v>5-1-2-5-9</x:v>
      </x:c>
      <x:c r="F72" s="22" t="str">
        <x:v>مقارنة خصائص الفلزات واللافلزات</x:v>
      </x:c>
      <x:c r="G72" s="22" t="str">
        <x:v>تطبيق</x:v>
      </x:c>
      <x:c r="H72" s="22" t="str">
        <x:v>متوسط</x:v>
      </x:c>
      <x:c r="I72" s="22" t="str">
        <x:v>اختيار من متعدد</x:v>
      </x:c>
      <x:c r="J72" s="20" t="str">
        <x:v>مادة صلبة لامعة جيدة التوصيل للكهرباء وقابلة للطرق. كيف تصنف غالبًا؟</x:v>
      </x:c>
      <x:c r="K72" s="20" t="str">
        <x:v>فلز</x:v>
      </x:c>
      <x:c r="L72" s="20" t="str">
        <x:v>لافلز</x:v>
      </x:c>
      <x:c r="M72" s="20" t="str">
        <x:v>غاز نبيل فقط</x:v>
      </x:c>
      <x:c r="N72" s="20" t="str">
        <x:v>محلول مائي</x:v>
      </x:c>
      <x:c r="O72" s="20" t="str">
        <x:v>أ</x:v>
      </x:c>
      <x:c r="P72" s="20" t="str">
        <x:v>اللمعان والتوصيل والقابلية للطرق من خواص الفلزات الشائعة.</x:v>
      </x:c>
      <x:c r="Q72" s="22" t="str">
        <x:v>نصي</x:v>
      </x:c>
      <x:c r="R72" s="22"/>
      <x:c r="S72" s="22" t="str">
        <x:v>محاكي أصلي مستلهم من نمط نافس ومبني على ناتج تعلم رسمي</x:v>
      </x:c>
      <x:c r="T72" s="22" t="str">
        <x:v>https://media.etec.gov.sa/media/sszdnh2h/%D9%86%D9%88%D8%A7%D8%AA%D8%AC-%D8%A7%D9%84%D8%AA%D8%B9%D9%84%D9%85-2026.pdf</x:v>
      </x:c>
      <x:c r="U72" t="str">
        <x:v>هيئة تقويم التعليم والتدريب – نواتج التعلم (صياغة أصلية)</x:v>
      </x:c>
    </x:row>
    <x:row r="73" ht="54" customHeight="1">
      <x:c r="A73" s="22" t="str">
        <x:v>CHEM022</x:v>
      </x:c>
      <x:c r="B73" s="22" t="str">
        <x:v>كيمياء</x:v>
      </x:c>
      <x:c r="C73" s="22" t="str">
        <x:v>العلوم الفيزيائية</x:v>
      </x:c>
      <x:c r="D73" s="22" t="str">
        <x:v>المادة وتفاعلاتها</x:v>
      </x:c>
      <x:c r="E73" s="22" t="str">
        <x:v>7-1-2-5-9</x:v>
      </x:c>
      <x:c r="F73" s="22" t="str">
        <x:v>كتابة صيغة مركب أيوني</x:v>
      </x:c>
      <x:c r="G73" s="22" t="str">
        <x:v>تطبيق</x:v>
      </x:c>
      <x:c r="H73" s="22" t="str">
        <x:v>صعب</x:v>
      </x:c>
      <x:c r="I73" s="22" t="str">
        <x:v>اختيار من متعدد</x:v>
      </x:c>
      <x:c r="J73" s="20" t="str">
        <x:v>يتحد Mg²⁺ مع Cl⁻. ما الصيغة الأبسط للمركب المتعادل؟</x:v>
      </x:c>
      <x:c r="K73" s="20" t="str">
        <x:v>MgCl</x:v>
      </x:c>
      <x:c r="L73" s="20" t="str">
        <x:v>MgCl₂</x:v>
      </x:c>
      <x:c r="M73" s="20" t="str">
        <x:v>Mg₂Cl</x:v>
      </x:c>
      <x:c r="N73" s="20" t="str">
        <x:v>Mg₂Cl₂</x:v>
      </x:c>
      <x:c r="O73" s="20" t="str">
        <x:v>ب</x:v>
      </x:c>
      <x:c r="P73" s="20" t="str">
        <x:v>يلزم أيونا كلوريد لكل أيون مغنيسيوم لمعادلة الشحنة +2.</x:v>
      </x:c>
      <x:c r="Q73" s="22" t="str">
        <x:v>رسم</x:v>
      </x:c>
      <x:c r="R73" s="22" t="str">
        <x:v>مخطط أيون Mg²⁺ وأيوني Cl⁻ مع الشحنات</x:v>
      </x:c>
      <x:c r="S73" s="22" t="str">
        <x:v>محاكي أصلي مستلهم من نمط نافس ومبني على ناتج تعلم رسمي</x:v>
      </x:c>
      <x:c r="T73" s="22" t="str">
        <x:v>https://media.etec.gov.sa/media/sszdnh2h/%D9%86%D9%88%D8%A7%D8%AA%D8%AC-%D8%A7%D9%84%D8%AA%D8%B9%D9%84%D9%85-2026.pdf</x:v>
      </x:c>
      <x:c r="U73" t="str">
        <x:v>هيئة تقويم التعليم والتدريب – نواتج التعلم (صياغة أصلية)</x:v>
      </x:c>
    </x:row>
    <x:row r="74" ht="54" customHeight="1">
      <x:c r="A74" s="22" t="str">
        <x:v>CHEM023</x:v>
      </x:c>
      <x:c r="B74" s="22" t="str">
        <x:v>كيمياء</x:v>
      </x:c>
      <x:c r="C74" s="22" t="str">
        <x:v>العلوم الفيزيائية</x:v>
      </x:c>
      <x:c r="D74" s="22" t="str">
        <x:v>المادة وتفاعلاتها</x:v>
      </x:c>
      <x:c r="E74" s="22" t="str">
        <x:v>7-1-2-5-9</x:v>
      </x:c>
      <x:c r="F74" s="22" t="str">
        <x:v>الرابطة التساهمية</x:v>
      </x:c>
      <x:c r="G74" s="22" t="str">
        <x:v>معرفة</x:v>
      </x:c>
      <x:c r="H74" s="22" t="str">
        <x:v>سهل</x:v>
      </x:c>
      <x:c r="I74" s="22" t="str">
        <x:v>اختيار من متعدد</x:v>
      </x:c>
      <x:c r="J74" s="20" t="str">
        <x:v>تتكون الرابطة التساهمية غالبًا عندما:</x:v>
      </x:c>
      <x:c r="K74" s="20" t="str">
        <x:v>تتشارك ذرتان في إلكترونات</x:v>
      </x:c>
      <x:c r="L74" s="20" t="str">
        <x:v>تنتقل نيوترونات بين الذرات</x:v>
      </x:c>
      <x:c r="M74" s="20" t="str">
        <x:v>تفقد النواة بروتونًا</x:v>
      </x:c>
      <x:c r="N74" s="20" t="str">
        <x:v>تتكون بلورات من فلزين فقط</x:v>
      </x:c>
      <x:c r="O74" s="20" t="str">
        <x:v>أ</x:v>
      </x:c>
      <x:c r="P74" s="20" t="str">
        <x:v>الرابطة التساهمية تنتج من مشاركة أزواج من الإلكترونات بين الذرات.</x:v>
      </x:c>
      <x:c r="Q74" s="22" t="str">
        <x:v>نصي</x:v>
      </x:c>
      <x:c r="R74" s="22"/>
      <x:c r="S74" s="22" t="str">
        <x:v>محاكي أصلي مستلهم من نمط نافس ومبني على ناتج تعلم رسمي</x:v>
      </x:c>
      <x:c r="T74" s="22" t="str">
        <x:v>https://media.etec.gov.sa/media/sszdnh2h/%D9%86%D9%88%D8%A7%D8%AA%D8%AC-%D8%A7%D9%84%D8%AA%D8%B9%D9%84%D9%85-2026.pdf</x:v>
      </x:c>
      <x:c r="U74" t="str">
        <x:v>هيئة تقويم التعليم والتدريب – نواتج التعلم (صياغة أصلية)</x:v>
      </x:c>
    </x:row>
    <x:row r="75" ht="54" customHeight="1">
      <x:c r="A75" s="22" t="str">
        <x:v>CHEM024</x:v>
      </x:c>
      <x:c r="B75" s="22" t="str">
        <x:v>كيمياء</x:v>
      </x:c>
      <x:c r="C75" s="22" t="str">
        <x:v>العلوم الفيزيائية</x:v>
      </x:c>
      <x:c r="D75" s="22" t="str">
        <x:v>المادة وتفاعلاتها</x:v>
      </x:c>
      <x:c r="E75" s="22" t="str">
        <x:v>7-1-2-5-9</x:v>
      </x:c>
      <x:c r="F75" s="22" t="str">
        <x:v>تفسير التوصيل في الفلزات</x:v>
      </x:c>
      <x:c r="G75" s="22" t="str">
        <x:v>استدلال</x:v>
      </x:c>
      <x:c r="H75" s="22" t="str">
        <x:v>متوسط</x:v>
      </x:c>
      <x:c r="I75" s="22" t="str">
        <x:v>اختيار من متعدد</x:v>
      </x:c>
      <x:c r="J75" s="20" t="str">
        <x:v>لماذا تستطيع الفلزات توصيل التيار الكهربائي جيدًا؟</x:v>
      </x:c>
      <x:c r="K75" s="20" t="str">
        <x:v>لوجود إلكترونات قادرة على الحركة خلال البناء الفلزي</x:v>
      </x:c>
      <x:c r="L75" s="20" t="str">
        <x:v>لأن بروتوناتها تتحرك بين الذرات</x:v>
      </x:c>
      <x:c r="M75" s="20" t="str">
        <x:v>لأنها لا تحتوي إلكترونات</x:v>
      </x:c>
      <x:c r="N75" s="20" t="str">
        <x:v>لأن روابطها تمنع حركة الشحنات</x:v>
      </x:c>
      <x:c r="O75" s="20" t="str">
        <x:v>أ</x:v>
      </x:c>
      <x:c r="P75" s="20" t="str">
        <x:v>الإلكترونات المتحركة في الرابطة الفلزية تسمح بانتقال الشحنة.</x:v>
      </x:c>
      <x:c r="Q75" s="22" t="str">
        <x:v>نصي</x:v>
      </x:c>
      <x:c r="R75" s="22"/>
      <x:c r="S75" s="22" t="str">
        <x:v>محاكي أصلي مستلهم من نمط نافس ومبني على ناتج تعلم رسمي</x:v>
      </x:c>
      <x:c r="T75" s="22" t="str">
        <x:v>https://media.etec.gov.sa/media/sszdnh2h/%D9%86%D9%88%D8%A7%D8%AA%D8%AC-%D8%A7%D9%84%D8%AA%D8%B9%D9%84%D9%85-2026.pdf</x:v>
      </x:c>
      <x:c r="U75" t="str">
        <x:v>هيئة تقويم التعليم والتدريب – نواتج التعلم (صياغة أصلية)</x:v>
      </x:c>
    </x:row>
    <x:row r="76" ht="54" customHeight="1">
      <x:c r="A76" s="22" t="str">
        <x:v>CHEM025</x:v>
      </x:c>
      <x:c r="B76" s="22" t="str">
        <x:v>كيمياء</x:v>
      </x:c>
      <x:c r="C76" s="22" t="str">
        <x:v>العلوم الفيزيائية</x:v>
      </x:c>
      <x:c r="D76" s="22" t="str">
        <x:v>المادة وتفاعلاتها</x:v>
      </x:c>
      <x:c r="E76" s="22" t="str">
        <x:v>7-1-2-5-9</x:v>
      </x:c>
      <x:c r="F76" s="22" t="str">
        <x:v>تمييز المركب الجزيئي والأيوني</x:v>
      </x:c>
      <x:c r="G76" s="22" t="str">
        <x:v>تطبيق</x:v>
      </x:c>
      <x:c r="H76" s="22" t="str">
        <x:v>متوسط</x:v>
      </x:c>
      <x:c r="I76" s="22" t="str">
        <x:v>اختيار من متعدد</x:v>
      </x:c>
      <x:c r="J76" s="20" t="str">
        <x:v>أي مركب يُتوقع أن يتكون أساسًا من رابطة تساهمية؟</x:v>
      </x:c>
      <x:c r="K76" s="20" t="str">
        <x:v>NaCl</x:v>
      </x:c>
      <x:c r="L76" s="20" t="str">
        <x:v>MgO</x:v>
      </x:c>
      <x:c r="M76" s="20" t="str">
        <x:v>CO₂</x:v>
      </x:c>
      <x:c r="N76" s="20" t="str">
        <x:v>CaCl₂</x:v>
      </x:c>
      <x:c r="O76" s="20" t="str">
        <x:v>ج</x:v>
      </x:c>
      <x:c r="P76" s="20" t="str">
        <x:v>ثاني أكسيد الكربون يتكون من لافلزات تتشارك الإلكترونات.</x:v>
      </x:c>
      <x:c r="Q76" s="22" t="str">
        <x:v>نصي</x:v>
      </x:c>
      <x:c r="R76" s="22"/>
      <x:c r="S76" s="22" t="str">
        <x:v>محاكي أصلي مستلهم من نمط نافس ومبني على ناتج تعلم رسمي</x:v>
      </x:c>
      <x:c r="T76" s="22" t="str">
        <x:v>https://media.etec.gov.sa/media/sszdnh2h/%D9%86%D9%88%D8%A7%D8%AA%D8%AC-%D8%A7%D9%84%D8%AA%D8%B9%D9%84%D9%85-2026.pdf</x:v>
      </x:c>
      <x:c r="U76" t="str">
        <x:v>هيئة تقويم التعليم والتدريب – نواتج التعلم (صياغة أصلية)</x:v>
      </x:c>
    </x:row>
    <x:row r="77" ht="54" customHeight="1">
      <x:c r="A77" s="22" t="str">
        <x:v>CHEM026</x:v>
      </x:c>
      <x:c r="B77" s="22" t="str">
        <x:v>كيمياء</x:v>
      </x:c>
      <x:c r="C77" s="22" t="str">
        <x:v>العلوم الفيزيائية</x:v>
      </x:c>
      <x:c r="D77" s="22" t="str">
        <x:v>المادة وتفاعلاتها</x:v>
      </x:c>
      <x:c r="E77" s="22" t="str">
        <x:v>7-1-2-5-9</x:v>
      </x:c>
      <x:c r="F77" s="22" t="str">
        <x:v>الإلكترونات المشتركة في الروابط</x:v>
      </x:c>
      <x:c r="G77" s="22" t="str">
        <x:v>تطبيق</x:v>
      </x:c>
      <x:c r="H77" s="22" t="str">
        <x:v>متوسط</x:v>
      </x:c>
      <x:c r="I77" s="22" t="str">
        <x:v>اختيار من متعدد</x:v>
      </x:c>
      <x:c r="J77" s="20" t="str">
        <x:v>في جزيء H₂ تشترك ذرتا الهيدروجين بزوج إلكتروني واحد. كم رابطة تساهمية بينهما؟</x:v>
      </x:c>
      <x:c r="K77" s="20" t="str">
        <x:v>رابطة واحدة</x:v>
      </x:c>
      <x:c r="L77" s="20" t="str">
        <x:v>رابطتان</x:v>
      </x:c>
      <x:c r="M77" s="20" t="str">
        <x:v>ثلاث روابط</x:v>
      </x:c>
      <x:c r="N77" s="20" t="str">
        <x:v>لا توجد رابطة</x:v>
      </x:c>
      <x:c r="O77" s="20" t="str">
        <x:v>أ</x:v>
      </x:c>
      <x:c r="P77" s="20" t="str">
        <x:v>زوج إلكتروني مشترك واحد يمثل رابطة تساهمية أحادية.</x:v>
      </x:c>
      <x:c r="Q77" s="22" t="str">
        <x:v>نصي</x:v>
      </x:c>
      <x:c r="R77" s="22"/>
      <x:c r="S77" s="22" t="str">
        <x:v>محاكي أصلي مستلهم من نمط نافس ومبني على ناتج تعلم رسمي</x:v>
      </x:c>
      <x:c r="T77" s="22" t="str">
        <x:v>https://media.etec.gov.sa/media/sszdnh2h/%D9%86%D9%88%D8%A7%D8%AA%D8%AC-%D8%A7%D9%84%D8%AA%D8%B9%D9%84%D9%85-2026.pdf</x:v>
      </x:c>
      <x:c r="U77" t="str">
        <x:v>هيئة تقويم التعليم والتدريب – نواتج التعلم (صياغة أصلية)</x:v>
      </x:c>
    </x:row>
    <x:row r="78" ht="54" customHeight="1">
      <x:c r="A78" s="22" t="str">
        <x:v>CHEM027</x:v>
      </x:c>
      <x:c r="B78" s="22" t="str">
        <x:v>كيمياء</x:v>
      </x:c>
      <x:c r="C78" s="22" t="str">
        <x:v>العلوم الفيزيائية</x:v>
      </x:c>
      <x:c r="D78" s="22" t="str">
        <x:v>المادة وتفاعلاتها</x:v>
      </x:c>
      <x:c r="E78" s="22" t="str">
        <x:v>7-1-2-5-9</x:v>
      </x:c>
      <x:c r="F78" s="22" t="str">
        <x:v>موازنة الشحنات في المركبات الأيونية</x:v>
      </x:c>
      <x:c r="G78" s="22" t="str">
        <x:v>تطبيق</x:v>
      </x:c>
      <x:c r="H78" s="22" t="str">
        <x:v>صعب</x:v>
      </x:c>
      <x:c r="I78" s="22" t="str">
        <x:v>اختيار من متعدد</x:v>
      </x:c>
      <x:c r="J78" s="20" t="str">
        <x:v>يتحد Al³⁺ مع O²⁻. ما الصيغة المتعادلة الأبسط؟</x:v>
      </x:c>
      <x:c r="K78" s="20" t="str">
        <x:v>AlO</x:v>
      </x:c>
      <x:c r="L78" s="20" t="str">
        <x:v>Al₂O₃</x:v>
      </x:c>
      <x:c r="M78" s="20" t="str">
        <x:v>Al₃O₂</x:v>
      </x:c>
      <x:c r="N78" s="20" t="str">
        <x:v>AlO₃</x:v>
      </x:c>
      <x:c r="O78" s="20" t="str">
        <x:v>ب</x:v>
      </x:c>
      <x:c r="P78" s="20" t="str">
        <x:v>أصغر مضاعف مشترك للشحنتين 6؛ لذا نحتاج 2 Al³⁺ و3 O²⁻.</x:v>
      </x:c>
      <x:c r="Q78" s="22" t="str">
        <x:v>رسم</x:v>
      </x:c>
      <x:c r="R78" s="22" t="str">
        <x:v>مخطط شحنات Al³⁺ وO²⁻ للوصول إلى التعادل</x:v>
      </x:c>
      <x:c r="S78" s="22" t="str">
        <x:v>محاكي أصلي مستلهم من نمط نافس ومبني على ناتج تعلم رسمي</x:v>
      </x:c>
      <x:c r="T78" s="22" t="str">
        <x:v>https://media.etec.gov.sa/media/sszdnh2h/%D9%86%D9%88%D8%A7%D8%AA%D8%AC-%D8%A7%D9%84%D8%AA%D8%B9%D9%84%D9%85-2026.pdf</x:v>
      </x:c>
      <x:c r="U78" t="str">
        <x:v>هيئة تقويم التعليم والتدريب – نواتج التعلم (صياغة أصلية)</x:v>
      </x:c>
    </x:row>
    <x:row r="79" ht="54" customHeight="1">
      <x:c r="A79" s="22" t="str">
        <x:v>CHEM028</x:v>
      </x:c>
      <x:c r="B79" s="22" t="str">
        <x:v>كيمياء</x:v>
      </x:c>
      <x:c r="C79" s="22" t="str">
        <x:v>العلوم الفيزيائية</x:v>
      </x:c>
      <x:c r="D79" s="22" t="str">
        <x:v>المادة وتفاعلاتها</x:v>
      </x:c>
      <x:c r="E79" s="22" t="str">
        <x:v>8-1-2-5-9</x:v>
      </x:c>
      <x:c r="F79" s="22" t="str">
        <x:v>موازنة المعادلات الكيميائية</x:v>
      </x:c>
      <x:c r="G79" s="22" t="str">
        <x:v>تطبيق</x:v>
      </x:c>
      <x:c r="H79" s="22" t="str">
        <x:v>متوسط</x:v>
      </x:c>
      <x:c r="I79" s="22" t="str">
        <x:v>اختيار من متعدد</x:v>
      </x:c>
      <x:c r="J79" s="20" t="str">
        <x:v>أي معاملات توازن المعادلة H₂ + O₂ → H₂O؟</x:v>
      </x:c>
      <x:c r="K79" s="20" t="str">
        <x:v>1،1،1</x:v>
      </x:c>
      <x:c r="L79" s="20" t="str">
        <x:v>2،1،2</x:v>
      </x:c>
      <x:c r="M79" s="20" t="str">
        <x:v>1،2،1</x:v>
      </x:c>
      <x:c r="N79" s="20" t="str">
        <x:v>2،2،1</x:v>
      </x:c>
      <x:c r="O79" s="20" t="str">
        <x:v>ب</x:v>
      </x:c>
      <x:c r="P79" s="20" t="str">
        <x:v>2H₂ + O₂ → 2H₂O يحفظ عدد ذرات الهيدروجين والأكسجين.</x:v>
      </x:c>
      <x:c r="Q79" s="22" t="str">
        <x:v>نصي</x:v>
      </x:c>
      <x:c r="R79" s="22"/>
      <x:c r="S79" s="22" t="str">
        <x:v>محاكي أصلي مستلهم من نمط نافس ومبني على ناتج تعلم رسمي</x:v>
      </x:c>
      <x:c r="T79" s="22" t="str">
        <x:v>https://media.etec.gov.sa/media/sszdnh2h/%D9%86%D9%88%D8%A7%D8%AA%D8%AC-%D8%A7%D9%84%D8%AA%D8%B9%D9%84%D9%85-2026.pdf</x:v>
      </x:c>
      <x:c r="U79" t="str">
        <x:v>هيئة تقويم التعليم والتدريب – نواتج التعلم (صياغة أصلية)</x:v>
      </x:c>
    </x:row>
    <x:row r="80" ht="54" customHeight="1">
      <x:c r="A80" s="22" t="str">
        <x:v>CHEM029</x:v>
      </x:c>
      <x:c r="B80" s="22" t="str">
        <x:v>كيمياء</x:v>
      </x:c>
      <x:c r="C80" s="22" t="str">
        <x:v>العلوم الفيزيائية</x:v>
      </x:c>
      <x:c r="D80" s="22" t="str">
        <x:v>المادة وتفاعلاتها</x:v>
      </x:c>
      <x:c r="E80" s="22" t="str">
        <x:v>8-1-2-5-9</x:v>
      </x:c>
      <x:c r="F80" s="22" t="str">
        <x:v>قانون حفظ الكتلة</x:v>
      </x:c>
      <x:c r="G80" s="22" t="str">
        <x:v>تطبيق</x:v>
      </x:c>
      <x:c r="H80" s="22" t="str">
        <x:v>متوسط</x:v>
      </x:c>
      <x:c r="I80" s="22" t="str">
        <x:v>اختيار من متعدد</x:v>
      </x:c>
      <x:c r="J80" s="20" t="str">
        <x:v>تفاعل 14 g من مادة مع كمية من مادة أخرى فنتج 38 g في نظام مغلق. إذا لم توجد نواتج أخرى، فما كتلة المادة الثانية؟</x:v>
      </x:c>
      <x:c r="K80" s="20" t="str">
        <x:v>24 g</x:v>
      </x:c>
      <x:c r="L80" s="20" t="str">
        <x:v>38 g</x:v>
      </x:c>
      <x:c r="M80" s="20" t="str">
        <x:v>52 g</x:v>
      </x:c>
      <x:c r="N80" s="20" t="str">
        <x:v>14 g</x:v>
      </x:c>
      <x:c r="O80" s="20" t="str">
        <x:v>أ</x:v>
      </x:c>
      <x:c r="P80" s="20" t="str">
        <x:v>وفق حفظ الكتلة: كتلة المادة الثانية = 38 - 14 = 24 g.</x:v>
      </x:c>
      <x:c r="Q80" s="22" t="str">
        <x:v>نصي</x:v>
      </x:c>
      <x:c r="R80" s="22"/>
      <x:c r="S80" s="22" t="str">
        <x:v>محاكي أصلي مستلهم من نمط نافس ومبني على ناتج تعلم رسمي</x:v>
      </x:c>
      <x:c r="T80" s="22" t="str">
        <x:v>https://media.etec.gov.sa/media/sszdnh2h/%D9%86%D9%88%D8%A7%D8%AA%D8%AC-%D8%A7%D9%84%D8%AA%D8%B9%D9%84%D9%85-2026.pdf</x:v>
      </x:c>
      <x:c r="U80" t="str">
        <x:v>هيئة تقويم التعليم والتدريب – نواتج التعلم (صياغة أصلية)</x:v>
      </x:c>
    </x:row>
    <x:row r="81" ht="54" customHeight="1">
      <x:c r="A81" s="22" t="str">
        <x:v>CHEM030</x:v>
      </x:c>
      <x:c r="B81" s="22" t="str">
        <x:v>كيمياء</x:v>
      </x:c>
      <x:c r="C81" s="22" t="str">
        <x:v>العلوم الفيزيائية</x:v>
      </x:c>
      <x:c r="D81" s="22" t="str">
        <x:v>المادة وتفاعلاتها</x:v>
      </x:c>
      <x:c r="E81" s="22" t="str">
        <x:v>8-1-2-5-9</x:v>
      </x:c>
      <x:c r="F81" s="22" t="str">
        <x:v>دلائل حدوث التفاعل الكيميائي</x:v>
      </x:c>
      <x:c r="G81" s="22" t="str">
        <x:v>تطبيق</x:v>
      </x:c>
      <x:c r="H81" s="22" t="str">
        <x:v>متوسط</x:v>
      </x:c>
      <x:c r="I81" s="22" t="str">
        <x:v>اختيار من متعدد</x:v>
      </x:c>
      <x:c r="J81" s="20" t="str">
        <x:v>أي ملاحظة تعد دليلًا أقوى على حدوث تفاعل كيميائي؟</x:v>
      </x:c>
      <x:c r="K81" s="20" t="str">
        <x:v>ذوبان سكر في الماء فقط</x:v>
      </x:c>
      <x:c r="L81" s="20" t="str">
        <x:v>تكوّن راسب جديد عند خلط محلولين</x:v>
      </x:c>
      <x:c r="M81" s="20" t="str">
        <x:v>تقطيع ورقة</x:v>
      </x:c>
      <x:c r="N81" s="20" t="str">
        <x:v>انصهار ثلج</x:v>
      </x:c>
      <x:c r="O81" s="20" t="str">
        <x:v>ب</x:v>
      </x:c>
      <x:c r="P81" s="20" t="str">
        <x:v>تكوّن مادة جديدة مثل الراسب من دلائل حدوث تفاعل كيميائي.</x:v>
      </x:c>
      <x:c r="Q81" s="22" t="str">
        <x:v>نصي</x:v>
      </x:c>
      <x:c r="R81" s="22"/>
      <x:c r="S81" s="22" t="str">
        <x:v>محاكي أصلي مستلهم من نمط نافس ومبني على ناتج تعلم رسمي</x:v>
      </x:c>
      <x:c r="T81" s="22" t="str">
        <x:v>https://media.etec.gov.sa/media/sszdnh2h/%D9%86%D9%88%D8%A7%D8%AA%D8%AC-%D8%A7%D9%84%D8%AA%D8%B9%D9%84%D9%85-2026.pdf</x:v>
      </x:c>
      <x:c r="U81" t="str">
        <x:v>هيئة تقويم التعليم والتدريب – نواتج التعلم (صياغة أصلية)</x:v>
      </x:c>
    </x:row>
    <x:row r="82" ht="54" customHeight="1">
      <x:c r="A82" s="22" t="str">
        <x:v>CHEM031</x:v>
      </x:c>
      <x:c r="B82" s="22" t="str">
        <x:v>كيمياء</x:v>
      </x:c>
      <x:c r="C82" s="22" t="str">
        <x:v>العلوم الفيزيائية</x:v>
      </x:c>
      <x:c r="D82" s="22" t="str">
        <x:v>المادة وتفاعلاتها</x:v>
      </x:c>
      <x:c r="E82" s="22" t="str">
        <x:v>8-1-2-5-9</x:v>
      </x:c>
      <x:c r="F82" s="22" t="str">
        <x:v>الطاقة في التفاعلات</x:v>
      </x:c>
      <x:c r="G82" s="22" t="str">
        <x:v>استدلال</x:v>
      </x:c>
      <x:c r="H82" s="22" t="str">
        <x:v>متوسط</x:v>
      </x:c>
      <x:c r="I82" s="22" t="str">
        <x:v>اختيار من متعدد</x:v>
      </x:c>
      <x:c r="J82" s="20" t="str">
        <x:v>يوضح مخطط طاقة أن طاقة النواتج أقل من طاقة المتفاعلات. ماذا يستنتج؟</x:v>
      </x:c>
      <x:c r="K82" s="20" t="str">
        <x:v>التفاعل يطلق طاقة إلى الوسط غالبًا</x:v>
      </x:c>
      <x:c r="L82" s="20" t="str">
        <x:v>التفاعل يمتص طاقة دائمًا</x:v>
      </x:c>
      <x:c r="M82" s="20" t="str">
        <x:v>لا يحدث تغير في الطاقة</x:v>
      </x:c>
      <x:c r="N82" s="20" t="str">
        <x:v>التفاعل فيزيائي حتمًا</x:v>
      </x:c>
      <x:c r="O82" s="20" t="str">
        <x:v>أ</x:v>
      </x:c>
      <x:c r="P82" s="20" t="str">
        <x:v>انخفاض طاقة النواتج مقارنة بالمتفاعلات يعني تحرر فرق الطاقة إلى الوسط.</x:v>
      </x:c>
      <x:c r="Q82" s="22" t="str">
        <x:v>رسم بياني</x:v>
      </x:c>
      <x:c r="R82" s="22" t="str">
        <x:v>مخطط طاقة للمتفاعلات أعلى من النواتج</x:v>
      </x:c>
      <x:c r="S82" s="22" t="str">
        <x:v>محاكي أصلي مستلهم من نمط نافس ومبني على ناتج تعلم رسمي</x:v>
      </x:c>
      <x:c r="T82" s="22" t="str">
        <x:v>https://media.etec.gov.sa/media/sszdnh2h/%D9%86%D9%88%D8%A7%D8%AA%D8%AC-%D8%A7%D9%84%D8%AA%D8%B9%D9%84%D9%85-2026.pdf</x:v>
      </x:c>
      <x:c r="U82" t="str">
        <x:v>هيئة تقويم التعليم والتدريب – نواتج التعلم (صياغة أصلية)</x:v>
      </x:c>
    </x:row>
    <x:row r="83" ht="54" customHeight="1">
      <x:c r="A83" s="22" t="str">
        <x:v>CHEM032</x:v>
      </x:c>
      <x:c r="B83" s="22" t="str">
        <x:v>كيمياء</x:v>
      </x:c>
      <x:c r="C83" s="22" t="str">
        <x:v>العلوم الفيزيائية</x:v>
      </x:c>
      <x:c r="D83" s="22" t="str">
        <x:v>المادة وتفاعلاتها</x:v>
      </x:c>
      <x:c r="E83" s="22" t="str">
        <x:v>8-1-2-5-9</x:v>
      </x:c>
      <x:c r="F83" s="22" t="str">
        <x:v>تمييز تفاعل الاحتراق</x:v>
      </x:c>
      <x:c r="G83" s="22" t="str">
        <x:v>تطبيق</x:v>
      </x:c>
      <x:c r="H83" s="22" t="str">
        <x:v>متوسط</x:v>
      </x:c>
      <x:c r="I83" s="22" t="str">
        <x:v>اختيار من متعدد</x:v>
      </x:c>
      <x:c r="J83" s="20" t="str">
        <x:v>أي وصف يتفق أكثر مع تفاعل احتراق شائع؟</x:v>
      </x:c>
      <x:c r="K83" s="20" t="str">
        <x:v>تفاعل مادة مع الأكسجين مصحوبًا غالبًا بإطلاق طاقة</x:v>
      </x:c>
      <x:c r="L83" s="20" t="str">
        <x:v>انصهار مادة صلبة</x:v>
      </x:c>
      <x:c r="M83" s="20" t="str">
        <x:v>تبخر الماء</x:v>
      </x:c>
      <x:c r="N83" s="20" t="str">
        <x:v>فصل مخلوط بالمغناطيس</x:v>
      </x:c>
      <x:c r="O83" s="20" t="str">
        <x:v>أ</x:v>
      </x:c>
      <x:c r="P83" s="20" t="str">
        <x:v>الاحتراق تفاعل كيميائي مع الأكسجين يصاحبه عادة انطلاق حرارة وضوء.</x:v>
      </x:c>
      <x:c r="Q83" s="22" t="str">
        <x:v>نصي</x:v>
      </x:c>
      <x:c r="R83" s="22"/>
      <x:c r="S83" s="22" t="str">
        <x:v>محاكي أصلي مستلهم من نمط نافس ومبني على ناتج تعلم رسمي</x:v>
      </x:c>
      <x:c r="T83" s="22" t="str">
        <x:v>https://media.etec.gov.sa/media/sszdnh2h/%D9%86%D9%88%D8%A7%D8%AA%D8%AC-%D8%A7%D9%84%D8%AA%D8%B9%D9%84%D9%85-2026.pdf</x:v>
      </x:c>
      <x:c r="U83" t="str">
        <x:v>هيئة تقويم التعليم والتدريب – نواتج التعلم (صياغة أصلية)</x:v>
      </x:c>
    </x:row>
    <x:row r="84" ht="54" customHeight="1">
      <x:c r="A84" s="22" t="str">
        <x:v>CHEM033</x:v>
      </x:c>
      <x:c r="B84" s="22" t="str">
        <x:v>كيمياء</x:v>
      </x:c>
      <x:c r="C84" s="22" t="str">
        <x:v>العلوم الفيزيائية</x:v>
      </x:c>
      <x:c r="D84" s="22" t="str">
        <x:v>المادة وتفاعلاتها</x:v>
      </x:c>
      <x:c r="E84" s="22" t="str">
        <x:v>8-1-2-5-9</x:v>
      </x:c>
      <x:c r="F84" s="22" t="str">
        <x:v>تفسير تكون الغاز أثناء التفاعل</x:v>
      </x:c>
      <x:c r="G84" s="22" t="str">
        <x:v>استدلال</x:v>
      </x:c>
      <x:c r="H84" s="22" t="str">
        <x:v>متوسط</x:v>
      </x:c>
      <x:c r="I84" s="22" t="str">
        <x:v>اختيار من متعدد</x:v>
      </x:c>
      <x:c r="J84" s="20" t="str">
        <x:v>عند خلط مادتين ظهرت فقاعات مستمرة دون تسخين. أي استنتاج أولي هو الأدق؟</x:v>
      </x:c>
      <x:c r="K84" s="20" t="str">
        <x:v>قد يكون غاز جديد قد تكوّن، وهو دليل محتمل على تفاعل</x:v>
      </x:c>
      <x:c r="L84" s="20" t="str">
        <x:v>حدث انصهار فقط</x:v>
      </x:c>
      <x:c r="M84" s="20" t="str">
        <x:v>تكوّن فلز بالضرورة</x:v>
      </x:c>
      <x:c r="N84" s="20" t="str">
        <x:v>لم يحدث أي تغير</x:v>
      </x:c>
      <x:c r="O84" s="20" t="str">
        <x:v>أ</x:v>
      </x:c>
      <x:c r="P84" s="20" t="str">
        <x:v>تصاعد الغاز من دلائل التفاعل المحتملة، مع الحاجة إلى أدلة أخرى عند الضرورة.</x:v>
      </x:c>
      <x:c r="Q84" s="22" t="str">
        <x:v>نصي</x:v>
      </x:c>
      <x:c r="R84" s="22"/>
      <x:c r="S84" s="22" t="str">
        <x:v>محاكي أصلي مستلهم من نمط نافس ومبني على ناتج تعلم رسمي</x:v>
      </x:c>
      <x:c r="T84" s="22" t="str">
        <x:v>https://media.etec.gov.sa/media/sszdnh2h/%D9%86%D9%88%D8%A7%D8%AA%D8%AC-%D8%A7%D9%84%D8%AA%D8%B9%D9%84%D9%85-2026.pdf</x:v>
      </x:c>
      <x:c r="U84" t="str">
        <x:v>هيئة تقويم التعليم والتدريب – نواتج التعلم (صياغة أصلية)</x:v>
      </x:c>
    </x:row>
    <x:row r="85" ht="54" customHeight="1">
      <x:c r="A85" s="22" t="str">
        <x:v>CHEM034</x:v>
      </x:c>
      <x:c r="B85" s="22" t="str">
        <x:v>كيمياء</x:v>
      </x:c>
      <x:c r="C85" s="22" t="str">
        <x:v>العلوم الفيزيائية</x:v>
      </x:c>
      <x:c r="D85" s="22" t="str">
        <x:v>المادة وتفاعلاتها</x:v>
      </x:c>
      <x:c r="E85" s="22" t="str">
        <x:v>6-1-2-5-9</x:v>
      </x:c>
      <x:c r="F85" s="22" t="str">
        <x:v>تحديد الحمض والقاعدة من pH</x:v>
      </x:c>
      <x:c r="G85" s="22" t="str">
        <x:v>تطبيق</x:v>
      </x:c>
      <x:c r="H85" s="22" t="str">
        <x:v>سهل</x:v>
      </x:c>
      <x:c r="I85" s="22" t="str">
        <x:v>اختيار من متعدد</x:v>
      </x:c>
      <x:c r="J85" s="20" t="str">
        <x:v>أي محلول مما يلي حمضي؟</x:v>
      </x:c>
      <x:c r="K85" s="20" t="str">
        <x:v>pH = 3</x:v>
      </x:c>
      <x:c r="L85" s="20" t="str">
        <x:v>pH = 7</x:v>
      </x:c>
      <x:c r="M85" s="20" t="str">
        <x:v>pH = 9</x:v>
      </x:c>
      <x:c r="N85" s="20" t="str">
        <x:v>pH = 12</x:v>
      </x:c>
      <x:c r="O85" s="20" t="str">
        <x:v>أ</x:v>
      </x:c>
      <x:c r="P85" s="20" t="str">
        <x:v>قيم pH الأقل من 7 تدل على محاليل حمضية.</x:v>
      </x:c>
      <x:c r="Q85" s="22" t="str">
        <x:v>صورة</x:v>
      </x:c>
      <x:c r="R85" s="22" t="str">
        <x:v>مقياس pH من 0 إلى 14 مع تمييز المناطق الحمضية والمتعادلة والقاعدية</x:v>
      </x:c>
      <x:c r="S85" s="22" t="str">
        <x:v>محاكي أصلي مستلهم من نمط نافس ومبني على ناتج تعلم رسمي</x:v>
      </x:c>
      <x:c r="T85" s="22" t="str">
        <x:v>https://media.etec.gov.sa/media/sszdnh2h/%D9%86%D9%88%D8%A7%D8%AA%D8%AC-%D8%A7%D9%84%D8%AA%D8%B9%D9%84%D9%85-2026.pdf</x:v>
      </x:c>
      <x:c r="U85" t="str">
        <x:v>هيئة تقويم التعليم والتدريب – نواتج التعلم (صياغة أصلية)</x:v>
      </x:c>
    </x:row>
    <x:row r="86" ht="54" customHeight="1">
      <x:c r="A86" s="22" t="str">
        <x:v>CHEM035</x:v>
      </x:c>
      <x:c r="B86" s="22" t="str">
        <x:v>كيمياء</x:v>
      </x:c>
      <x:c r="C86" s="22" t="str">
        <x:v>العلوم الفيزيائية</x:v>
      </x:c>
      <x:c r="D86" s="22" t="str">
        <x:v>المادة وتفاعلاتها</x:v>
      </x:c>
      <x:c r="E86" s="22" t="str">
        <x:v>6-1-2-5-9</x:v>
      </x:c>
      <x:c r="F86" s="22" t="str">
        <x:v>مفهوم التعادل</x:v>
      </x:c>
      <x:c r="G86" s="22" t="str">
        <x:v>تطبيق</x:v>
      </x:c>
      <x:c r="H86" s="22" t="str">
        <x:v>متوسط</x:v>
      </x:c>
      <x:c r="I86" s="22" t="str">
        <x:v>اختيار من متعدد</x:v>
      </x:c>
      <x:c r="J86" s="20" t="str">
        <x:v>عند إضافة كمية مناسبة من قاعدة إلى حمض حتى أصبح pH قريبًا من 7، ما العملية التي حدثت؟</x:v>
      </x:c>
      <x:c r="K86" s="20" t="str">
        <x:v>تعادل</x:v>
      </x:c>
      <x:c r="L86" s="20" t="str">
        <x:v>تبخير</x:v>
      </x:c>
      <x:c r="M86" s="20" t="str">
        <x:v>تقطير</x:v>
      </x:c>
      <x:c r="N86" s="20" t="str">
        <x:v>تحلل نووي</x:v>
      </x:c>
      <x:c r="O86" s="20" t="str">
        <x:v>أ</x:v>
      </x:c>
      <x:c r="P86" s="20" t="str">
        <x:v>تفاعل الحمض والقاعدة بنسب مناسبة يؤدي إلى التعادل وتكون ماء وملح غالبًا.</x:v>
      </x:c>
      <x:c r="Q86" s="22" t="str">
        <x:v>نصي</x:v>
      </x:c>
      <x:c r="R86" s="22"/>
      <x:c r="S86" s="22" t="str">
        <x:v>محاكي أصلي مستلهم من نمط نافس ومبني على ناتج تعلم رسمي</x:v>
      </x:c>
      <x:c r="T86" s="22" t="str">
        <x:v>https://media.etec.gov.sa/media/sszdnh2h/%D9%86%D9%88%D8%A7%D8%AA%D8%AC-%D8%A7%D9%84%D8%AA%D8%B9%D9%84%D9%85-2026.pdf</x:v>
      </x:c>
      <x:c r="U86" t="str">
        <x:v>هيئة تقويم التعليم والتدريب – نواتج التعلم (صياغة أصلية)</x:v>
      </x:c>
    </x:row>
    <x:row r="87" ht="54" customHeight="1">
      <x:c r="A87" s="22" t="str">
        <x:v>CHEM036</x:v>
      </x:c>
      <x:c r="B87" s="22" t="str">
        <x:v>كيمياء</x:v>
      </x:c>
      <x:c r="C87" s="22" t="str">
        <x:v>العلوم الفيزيائية</x:v>
      </x:c>
      <x:c r="D87" s="22" t="str">
        <x:v>المادة وتفاعلاتها</x:v>
      </x:c>
      <x:c r="E87" s="22" t="str">
        <x:v>6-1-2-5-9</x:v>
      </x:c>
      <x:c r="F87" s="22" t="str">
        <x:v>استخدام المؤشرات</x:v>
      </x:c>
      <x:c r="G87" s="22" t="str">
        <x:v>تطبيق</x:v>
      </x:c>
      <x:c r="H87" s="22" t="str">
        <x:v>متوسط</x:v>
      </x:c>
      <x:c r="I87" s="22" t="str">
        <x:v>اختيار من متعدد</x:v>
      </x:c>
      <x:c r="J87" s="20" t="str">
        <x:v>مؤشر لوني يتحول إلى لون مختلف في الوسط القاعدي. ما فائدته الأساسية؟</x:v>
      </x:c>
      <x:c r="K87" s="20" t="str">
        <x:v>التمييز بين المحاليل بحسب حموضتها أو قاعديتها</x:v>
      </x:c>
      <x:c r="L87" s="20" t="str">
        <x:v>حساب عدد النيوترونات</x:v>
      </x:c>
      <x:c r="M87" s="20" t="str">
        <x:v>موازنة المعادلات</x:v>
      </x:c>
      <x:c r="N87" s="20" t="str">
        <x:v>فصل برادة الحديد</x:v>
      </x:c>
      <x:c r="O87" s="20" t="str">
        <x:v>أ</x:v>
      </x:c>
      <x:c r="P87" s="20" t="str">
        <x:v>المؤشرات تغير لونها تبعًا لدرجة الحموضة فتساعد على التمييز بين المحاليل.</x:v>
      </x:c>
      <x:c r="Q87" s="22" t="str">
        <x:v>نصي</x:v>
      </x:c>
      <x:c r="R87" s="22"/>
      <x:c r="S87" s="22" t="str">
        <x:v>محاكي أصلي مستلهم من نمط نافس ومبني على ناتج تعلم رسمي</x:v>
      </x:c>
      <x:c r="T87" s="22" t="str">
        <x:v>https://media.etec.gov.sa/media/sszdnh2h/%D9%86%D9%88%D8%A7%D8%AA%D8%AC-%D8%A7%D9%84%D8%AA%D8%B9%D9%84%D9%85-2026.pdf</x:v>
      </x:c>
      <x:c r="U87" t="str">
        <x:v>هيئة تقويم التعليم والتدريب – نواتج التعلم (صياغة أصلية)</x:v>
      </x:c>
    </x:row>
    <x:row r="88" ht="54" customHeight="1">
      <x:c r="A88" s="22" t="str">
        <x:v>CHEM037</x:v>
      </x:c>
      <x:c r="B88" s="22" t="str">
        <x:v>كيمياء</x:v>
      </x:c>
      <x:c r="C88" s="22" t="str">
        <x:v>العلوم الفيزيائية</x:v>
      </x:c>
      <x:c r="D88" s="22" t="str">
        <x:v>المادة وتفاعلاتها</x:v>
      </x:c>
      <x:c r="E88" s="22" t="str">
        <x:v>6-1-2-5-9</x:v>
      </x:c>
      <x:c r="F88" s="22" t="str">
        <x:v>مقارنة قوة الحموضة من pH</x:v>
      </x:c>
      <x:c r="G88" s="22" t="str">
        <x:v>استدلال</x:v>
      </x:c>
      <x:c r="H88" s="22" t="str">
        <x:v>صعب</x:v>
      </x:c>
      <x:c r="I88" s="22" t="str">
        <x:v>اختيار من متعدد</x:v>
      </x:c>
      <x:c r="J88" s="20" t="str">
        <x:v>أي محلولين أكثر حموضة: محلول pH=2 أم محلول pH=5؟</x:v>
      </x:c>
      <x:c r="K88" s="20" t="str">
        <x:v>محلول pH=2</x:v>
      </x:c>
      <x:c r="L88" s="20" t="str">
        <x:v>محلول pH=5</x:v>
      </x:c>
      <x:c r="M88" s="20" t="str">
        <x:v>متساويان</x:v>
      </x:c>
      <x:c r="N88" s="20" t="str">
        <x:v>لا يمكن المقارنة باستخدام pH</x:v>
      </x:c>
      <x:c r="O88" s="20" t="str">
        <x:v>أ</x:v>
      </x:c>
      <x:c r="P88" s="20" t="str">
        <x:v>كلما انخفضت قيمة pH زادت الحموضة.</x:v>
      </x:c>
      <x:c r="Q88" s="22" t="str">
        <x:v>نصي</x:v>
      </x:c>
      <x:c r="R88" s="22"/>
      <x:c r="S88" s="22" t="str">
        <x:v>محاكي أصلي مستلهم من نمط نافس ومبني على ناتج تعلم رسمي</x:v>
      </x:c>
      <x:c r="T88" s="22" t="str">
        <x:v>https://media.etec.gov.sa/media/sszdnh2h/%D9%86%D9%88%D8%A7%D8%AA%D8%AC-%D8%A7%D9%84%D8%AA%D8%B9%D9%84%D9%85-2026.pdf</x:v>
      </x:c>
      <x:c r="U88" t="str">
        <x:v>هيئة تقويم التعليم والتدريب – نواتج التعلم (صياغة أصلية)</x:v>
      </x:c>
    </x:row>
    <x:row r="89" ht="54" customHeight="1">
      <x:c r="A89" s="22" t="str">
        <x:v>CHEM038</x:v>
      </x:c>
      <x:c r="B89" s="22" t="str">
        <x:v>كيمياء</x:v>
      </x:c>
      <x:c r="C89" s="22" t="str">
        <x:v>العلوم الفيزيائية</x:v>
      </x:c>
      <x:c r="D89" s="22" t="str">
        <x:v>المادة وتفاعلاتها</x:v>
      </x:c>
      <x:c r="E89" s="22" t="str">
        <x:v>2-1-2-5-9</x:v>
      </x:c>
      <x:c r="F89" s="22" t="str">
        <x:v>تمييز المخاليط المتجانسة</x:v>
      </x:c>
      <x:c r="G89" s="22" t="str">
        <x:v>تطبيق</x:v>
      </x:c>
      <x:c r="H89" s="22" t="str">
        <x:v>سهل</x:v>
      </x:c>
      <x:c r="I89" s="22" t="str">
        <x:v>اختيار من متعدد</x:v>
      </x:c>
      <x:c r="J89" s="20" t="str">
        <x:v>أي مثال يمثل مخلوطًا متجانسًا؟</x:v>
      </x:c>
      <x:c r="K89" s="20" t="str">
        <x:v>محلول ملح في الماء</x:v>
      </x:c>
      <x:c r="L89" s="20" t="str">
        <x:v>رمل مع حصى</x:v>
      </x:c>
      <x:c r="M89" s="20" t="str">
        <x:v>زيت مع ماء بعد انفصالهما</x:v>
      </x:c>
      <x:c r="N89" s="20" t="str">
        <x:v>سلطة خضار</x:v>
      </x:c>
      <x:c r="O89" s="20" t="str">
        <x:v>أ</x:v>
      </x:c>
      <x:c r="P89" s="20" t="str">
        <x:v>محلول الملح يبدو موحد التركيب في جميع أجزائه.</x:v>
      </x:c>
      <x:c r="Q89" s="22" t="str">
        <x:v>نصي</x:v>
      </x:c>
      <x:c r="R89" s="22"/>
      <x:c r="S89" s="22" t="str">
        <x:v>محاكي أصلي مستلهم من نمط نافس ومبني على ناتج تعلم رسمي</x:v>
      </x:c>
      <x:c r="T89" s="22" t="str">
        <x:v>https://media.etec.gov.sa/media/sszdnh2h/%D9%86%D9%88%D8%A7%D8%AA%D8%AC-%D8%A7%D9%84%D8%AA%D8%B9%D9%84%D9%85-2026.pdf</x:v>
      </x:c>
      <x:c r="U89" t="str">
        <x:v>هيئة تقويم التعليم والتدريب – نواتج التعلم (صياغة أصلية)</x:v>
      </x:c>
    </x:row>
    <x:row r="90" ht="54" customHeight="1">
      <x:c r="A90" s="22" t="str">
        <x:v>CHEM039</x:v>
      </x:c>
      <x:c r="B90" s="22" t="str">
        <x:v>كيمياء</x:v>
      </x:c>
      <x:c r="C90" s="22" t="str">
        <x:v>العلوم الفيزيائية</x:v>
      </x:c>
      <x:c r="D90" s="22" t="str">
        <x:v>المادة وتفاعلاتها</x:v>
      </x:c>
      <x:c r="E90" s="22" t="str">
        <x:v>2-1-2-5-9</x:v>
      </x:c>
      <x:c r="F90" s="22" t="str">
        <x:v>اختيار طريقة الفصل</x:v>
      </x:c>
      <x:c r="G90" s="22" t="str">
        <x:v>تطبيق</x:v>
      </x:c>
      <x:c r="H90" s="22" t="str">
        <x:v>متوسط</x:v>
      </x:c>
      <x:c r="I90" s="22" t="str">
        <x:v>اختيار من متعدد</x:v>
      </x:c>
      <x:c r="J90" s="20" t="str">
        <x:v>ما الطريقة الأنسب لفصل مادة صلبة غير ذائبة عن سائل؟</x:v>
      </x:c>
      <x:c r="K90" s="20" t="str">
        <x:v>الترشيح</x:v>
      </x:c>
      <x:c r="L90" s="20" t="str">
        <x:v>التقطير التجزيئي دائمًا</x:v>
      </x:c>
      <x:c r="M90" s="20" t="str">
        <x:v>المغناطيس فقط</x:v>
      </x:c>
      <x:c r="N90" s="20" t="str">
        <x:v>التسامي</x:v>
      </x:c>
      <x:c r="O90" s="20" t="str">
        <x:v>أ</x:v>
      </x:c>
      <x:c r="P90" s="20" t="str">
        <x:v>الترشيح يسمح بمرور السائل ويحتجز الجسيمات الصلبة غير الذائبة.</x:v>
      </x:c>
      <x:c r="Q90" s="22" t="str">
        <x:v>صورة</x:v>
      </x:c>
      <x:c r="R90" s="22" t="str">
        <x:v>جهاز ترشيح مبسط: قمع وورقة ترشيح وكأس</x:v>
      </x:c>
      <x:c r="S90" s="22" t="str">
        <x:v>محاكي أصلي مستلهم من نمط نافس ومبني على ناتج تعلم رسمي</x:v>
      </x:c>
      <x:c r="T90" s="22" t="str">
        <x:v>https://media.etec.gov.sa/media/sszdnh2h/%D9%86%D9%88%D8%A7%D8%AA%D8%AC-%D8%A7%D9%84%D8%AA%D8%B9%D9%84%D9%85-2026.pdf</x:v>
      </x:c>
      <x:c r="U90" t="str">
        <x:v>هيئة تقويم التعليم والتدريب – نواتج التعلم (صياغة أصلية)</x:v>
      </x:c>
    </x:row>
    <x:row r="91" ht="54" customHeight="1">
      <x:c r="A91" s="22" t="str">
        <x:v>CHEM040</x:v>
      </x:c>
      <x:c r="B91" s="22" t="str">
        <x:v>كيمياء</x:v>
      </x:c>
      <x:c r="C91" s="22" t="str">
        <x:v>العلوم الفيزيائية</x:v>
      </x:c>
      <x:c r="D91" s="22" t="str">
        <x:v>المادة وتفاعلاتها</x:v>
      </x:c>
      <x:c r="E91" s="22" t="str">
        <x:v>2-1-2-5-9</x:v>
      </x:c>
      <x:c r="F91" s="22" t="str">
        <x:v>استخدام التقطير</x:v>
      </x:c>
      <x:c r="G91" s="22" t="str">
        <x:v>استدلال</x:v>
      </x:c>
      <x:c r="H91" s="22" t="str">
        <x:v>متوسط</x:v>
      </x:c>
      <x:c r="I91" s="22" t="str">
        <x:v>اختيار من متعدد</x:v>
      </x:c>
      <x:c r="J91" s="20" t="str">
        <x:v>لديك محلول ماء وملح وتريد الحصول على الماء النقي أيضًا. أي طريقة أنسب؟</x:v>
      </x:c>
      <x:c r="K91" s="20" t="str">
        <x:v>التقطير</x:v>
      </x:c>
      <x:c r="L91" s="20" t="str">
        <x:v>الترشيح فقط</x:v>
      </x:c>
      <x:c r="M91" s="20" t="str">
        <x:v>المغناطيس</x:v>
      </x:c>
      <x:c r="N91" s="20" t="str">
        <x:v>الغربلة</x:v>
      </x:c>
      <x:c r="O91" s="20" t="str">
        <x:v>أ</x:v>
      </x:c>
      <x:c r="P91" s="20" t="str">
        <x:v>التقطير يبخر الماء ثم يكثفه، فيفصل السائل عن المذاب غير المتطاير.</x:v>
      </x:c>
      <x:c r="Q91" s="22" t="str">
        <x:v>صورة</x:v>
      </x:c>
      <x:c r="R91" s="22" t="str">
        <x:v>جهاز تقطير مبسط يوضح دورقًا ومكثفًا ووعاء استقبال</x:v>
      </x:c>
      <x:c r="S91" s="22" t="str">
        <x:v>محاكي أصلي مستلهم من نمط نافس ومبني على ناتج تعلم رسمي</x:v>
      </x:c>
      <x:c r="T91" s="22" t="str">
        <x:v>https://media.etec.gov.sa/media/sszdnh2h/%D9%86%D9%88%D8%A7%D8%AA%D8%AC-%D8%A7%D9%84%D8%AA%D8%B9%D9%84%D9%85-2026.pdf</x:v>
      </x:c>
      <x:c r="U91" t="str">
        <x:v>هيئة تقويم التعليم والتدريب – نواتج التعلم (صياغة أصلية)</x:v>
      </x:c>
    </x:row>
    <x:row r="92" ht="54" customHeight="1">
      <x:c r="A92" s="22" t="str">
        <x:v>CHEM041</x:v>
      </x:c>
      <x:c r="B92" s="22" t="str">
        <x:v>كيمياء</x:v>
      </x:c>
      <x:c r="C92" s="22" t="str">
        <x:v>العلوم الفيزيائية</x:v>
      </x:c>
      <x:c r="D92" s="22" t="str">
        <x:v>المادة وتفاعلاتها</x:v>
      </x:c>
      <x:c r="E92" s="22" t="str">
        <x:v>3-1-2-5-9</x:v>
      </x:c>
      <x:c r="F92" s="22" t="str">
        <x:v>مقارنة تركيز المحاليل</x:v>
      </x:c>
      <x:c r="G92" s="22" t="str">
        <x:v>تطبيق</x:v>
      </x:c>
      <x:c r="H92" s="22" t="str">
        <x:v>متوسط</x:v>
      </x:c>
      <x:c r="I92" s="22" t="str">
        <x:v>اختيار من متعدد</x:v>
      </x:c>
      <x:c r="J92" s="20" t="str">
        <x:v>المحلول أ يحتوي 10 g ملح في 100 mL ماء، والمحلول ب يحتوي 20 g في 100 mL. أيهما أكثر تركيزًا؟</x:v>
      </x:c>
      <x:c r="K92" s="20" t="str">
        <x:v>أ</x:v>
      </x:c>
      <x:c r="L92" s="20" t="str">
        <x:v>ب</x:v>
      </x:c>
      <x:c r="M92" s="20" t="str">
        <x:v>متساويان</x:v>
      </x:c>
      <x:c r="N92" s="20" t="str">
        <x:v>لا يمكن المقارنة</x:v>
      </x:c>
      <x:c r="O92" s="20" t="str">
        <x:v>ب</x:v>
      </x:c>
      <x:c r="P92" s="20" t="str">
        <x:v>مع تساوي كمية الماء، يحتوي ب كمية مذاب أكبر فيكون أكثر تركيزًا.</x:v>
      </x:c>
      <x:c r="Q92" s="22" t="str">
        <x:v>جدول</x:v>
      </x:c>
      <x:c r="R92" s="22" t="str">
        <x:v>جدول صغير يقارن كتل المذاب وحجوم الماء</x:v>
      </x:c>
      <x:c r="S92" s="22" t="str">
        <x:v>محاكي أصلي مستلهم من نمط نافس ومبني على ناتج تعلم رسمي</x:v>
      </x:c>
      <x:c r="T92" s="22" t="str">
        <x:v>https://media.etec.gov.sa/media/sszdnh2h/%D9%86%D9%88%D8%A7%D8%AA%D8%AC-%D8%A7%D9%84%D8%AA%D8%B9%D9%84%D9%85-2026.pdf</x:v>
      </x:c>
      <x:c r="U92" t="str">
        <x:v>هيئة تقويم التعليم والتدريب – نواتج التعلم (صياغة أصلية)</x:v>
      </x:c>
    </x:row>
    <x:row r="93" ht="54" customHeight="1">
      <x:c r="A93" s="22" t="str">
        <x:v>CHEM042</x:v>
      </x:c>
      <x:c r="B93" s="22" t="str">
        <x:v>كيمياء</x:v>
      </x:c>
      <x:c r="C93" s="22" t="str">
        <x:v>العلوم الفيزيائية</x:v>
      </x:c>
      <x:c r="D93" s="22" t="str">
        <x:v>المادة وتفاعلاتها</x:v>
      </x:c>
      <x:c r="E93" s="22" t="str">
        <x:v>3-1-2-5-9</x:v>
      </x:c>
      <x:c r="F93" s="22" t="str">
        <x:v>قراءة منحنى الذائبية</x:v>
      </x:c>
      <x:c r="G93" s="22" t="str">
        <x:v>استدلال</x:v>
      </x:c>
      <x:c r="H93" s="22" t="str">
        <x:v>صعب</x:v>
      </x:c>
      <x:c r="I93" s="22" t="str">
        <x:v>اختيار من متعدد</x:v>
      </x:c>
      <x:c r="J93" s="20" t="str">
        <x:v>يبين منحنى ذائبية أن 40 g من مادة تذوب في 100 g ماء عند 60°C، بينما تذوب 20 g فقط عند 20°C. إذا برد محلول مشبع من 60°C إلى 20°C، ماذا يتوقع؟</x:v>
      </x:c>
      <x:c r="K93" s="20" t="str">
        <x:v>يتبلور جزء من المذاب</x:v>
      </x:c>
      <x:c r="L93" s="20" t="str">
        <x:v>تتضاعف الذائبية</x:v>
      </x:c>
      <x:c r="M93" s="20" t="str">
        <x:v>تختفي المادة</x:v>
      </x:c>
      <x:c r="N93" s="20" t="str">
        <x:v>لا يتغير شيء</x:v>
      </x:c>
      <x:c r="O93" s="20" t="str">
        <x:v>أ</x:v>
      </x:c>
      <x:c r="P93" s="20" t="str">
        <x:v>انخفاض الذائبية عند التبريد يجعل جزءًا من المذاب الزائد يخرج على هيئة بلورات.</x:v>
      </x:c>
      <x:c r="Q93" s="22" t="str">
        <x:v>رسم بياني</x:v>
      </x:c>
      <x:c r="R93" s="22" t="str">
        <x:v>منحنى ذائبية بالقيم المذكورة</x:v>
      </x:c>
      <x:c r="S93" s="22" t="str">
        <x:v>محاكي أصلي مستلهم من نمط نافس ومبني على ناتج تعلم رسمي</x:v>
      </x:c>
      <x:c r="T93" s="22" t="str">
        <x:v>https://media.etec.gov.sa/media/sszdnh2h/%D9%86%D9%88%D8%A7%D8%AA%D8%AC-%D8%A7%D9%84%D8%AA%D8%B9%D9%84%D9%85-2026.pdf</x:v>
      </x:c>
      <x:c r="U93" t="str">
        <x:v>هيئة تقويم التعليم والتدريب – نواتج التعلم (صياغة أصلية)</x:v>
      </x:c>
    </x:row>
    <x:row r="94" ht="54" customHeight="1">
      <x:c r="A94" s="22" t="str">
        <x:v>CHEM043</x:v>
      </x:c>
      <x:c r="B94" s="22" t="str">
        <x:v>كيمياء</x:v>
      </x:c>
      <x:c r="C94" s="22" t="str">
        <x:v>العلوم الفيزيائية</x:v>
      </x:c>
      <x:c r="D94" s="22" t="str">
        <x:v>المادة وتفاعلاتها</x:v>
      </x:c>
      <x:c r="E94" s="22" t="str">
        <x:v>3-1-2-5-9</x:v>
      </x:c>
      <x:c r="F94" s="22" t="str">
        <x:v>المحلول المشبع</x:v>
      </x:c>
      <x:c r="G94" s="22" t="str">
        <x:v>معرفة</x:v>
      </x:c>
      <x:c r="H94" s="22" t="str">
        <x:v>سهل</x:v>
      </x:c>
      <x:c r="I94" s="22" t="str">
        <x:v>اختيار من متعدد</x:v>
      </x:c>
      <x:c r="J94" s="20" t="str">
        <x:v>المحلول الذي يحتوي أكبر كمية يمكن أن تذوب من المذاب عند درجة حرارة معينة يسمى:</x:v>
      </x:c>
      <x:c r="K94" s="20" t="str">
        <x:v>مشبعًا</x:v>
      </x:c>
      <x:c r="L94" s="20" t="str">
        <x:v>مخففًا دائمًا</x:v>
      </x:c>
      <x:c r="M94" s="20" t="str">
        <x:v>عنصرًا</x:v>
      </x:c>
      <x:c r="N94" s="20" t="str">
        <x:v>معلقًا بالضرورة</x:v>
      </x:c>
      <x:c r="O94" s="20" t="str">
        <x:v>أ</x:v>
      </x:c>
      <x:c r="P94" s="20" t="str">
        <x:v>المحلول المشبع وصل إلى الحد الأقصى للذوبان عند الظروف المحددة.</x:v>
      </x:c>
      <x:c r="Q94" s="22" t="str">
        <x:v>نصي</x:v>
      </x:c>
      <x:c r="R94" s="22"/>
      <x:c r="S94" s="22" t="str">
        <x:v>محاكي أصلي مستلهم من نمط نافس ومبني على ناتج تعلم رسمي</x:v>
      </x:c>
      <x:c r="T94" s="22" t="str">
        <x:v>https://media.etec.gov.sa/media/sszdnh2h/%D9%86%D9%88%D8%A7%D8%AA%D8%AC-%D8%A7%D9%84%D8%AA%D8%B9%D9%84%D9%85-2026.pdf</x:v>
      </x:c>
      <x:c r="U94" t="str">
        <x:v>هيئة تقويم التعليم والتدريب – نواتج التعلم (صياغة أصلية)</x:v>
      </x:c>
    </x:row>
    <x:row r="95" ht="54" customHeight="1">
      <x:c r="A95" s="22" t="str">
        <x:v>CHEM044</x:v>
      </x:c>
      <x:c r="B95" s="22" t="str">
        <x:v>كيمياء</x:v>
      </x:c>
      <x:c r="C95" s="22" t="str">
        <x:v>العلوم الفيزيائية</x:v>
      </x:c>
      <x:c r="D95" s="22" t="str">
        <x:v>المادة وتفاعلاتها</x:v>
      </x:c>
      <x:c r="E95" s="22" t="str">
        <x:v>1-1-2-5-9</x:v>
      </x:c>
      <x:c r="F95" s="22" t="str">
        <x:v>حساب عمر النصف</x:v>
      </x:c>
      <x:c r="G95" s="22" t="str">
        <x:v>تطبيق</x:v>
      </x:c>
      <x:c r="H95" s="22" t="str">
        <x:v>متوسط</x:v>
      </x:c>
      <x:c r="I95" s="22" t="str">
        <x:v>اختيار من متعدد</x:v>
      </x:c>
      <x:c r="J95" s="20" t="str">
        <x:v>عينة مشعة مقدارها 64 mg وعمر نصفها 4 ساعات. كم يتبقى بعد 12 ساعة؟</x:v>
      </x:c>
      <x:c r="K95" s="20" t="str">
        <x:v>32 mg</x:v>
      </x:c>
      <x:c r="L95" s="20" t="str">
        <x:v>16 mg</x:v>
      </x:c>
      <x:c r="M95" s="20" t="str">
        <x:v>8 mg</x:v>
      </x:c>
      <x:c r="N95" s="20" t="str">
        <x:v>4 mg</x:v>
      </x:c>
      <x:c r="O95" s="20" t="str">
        <x:v>ج</x:v>
      </x:c>
      <x:c r="P95" s="20" t="str">
        <x:v>12 ساعة = 3 أعمار نصف: 64 ← 32 ← 16 ← 8 mg.</x:v>
      </x:c>
      <x:c r="Q95" s="22" t="str">
        <x:v>رسم بياني</x:v>
      </x:c>
      <x:c r="R95" s="22" t="str">
        <x:v>منحنى تناقص الكمية إلى النصف كل 4 ساعات</x:v>
      </x:c>
      <x:c r="S95" s="22" t="str">
        <x:v>محاكي أصلي مستلهم من نمط نافس ومبني على ناتج تعلم رسمي</x:v>
      </x:c>
      <x:c r="T95" s="22" t="str">
        <x:v>https://media.etec.gov.sa/media/sszdnh2h/%D9%86%D9%88%D8%A7%D8%AA%D8%AC-%D8%A7%D9%84%D8%AA%D8%B9%D9%84%D9%85-2026.pdf</x:v>
      </x:c>
      <x:c r="U95" t="str">
        <x:v>هيئة تقويم التعليم والتدريب – نواتج التعلم (صياغة أصلية)</x:v>
      </x:c>
    </x:row>
    <x:row r="96" ht="54" customHeight="1">
      <x:c r="A96" s="22" t="str">
        <x:v>CHEM045</x:v>
      </x:c>
      <x:c r="B96" s="22" t="str">
        <x:v>كيمياء</x:v>
      </x:c>
      <x:c r="C96" s="22" t="str">
        <x:v>العلوم الفيزيائية</x:v>
      </x:c>
      <x:c r="D96" s="22" t="str">
        <x:v>المادة وتفاعلاتها</x:v>
      </x:c>
      <x:c r="E96" s="22" t="str">
        <x:v>1-1-2-5-9</x:v>
      </x:c>
      <x:c r="F96" s="22" t="str">
        <x:v>مفهوم عمر النصف</x:v>
      </x:c>
      <x:c r="G96" s="22" t="str">
        <x:v>معرفة</x:v>
      </x:c>
      <x:c r="H96" s="22" t="str">
        <x:v>سهل</x:v>
      </x:c>
      <x:c r="I96" s="22" t="str">
        <x:v>اختيار من متعدد</x:v>
      </x:c>
      <x:c r="J96" s="20" t="str">
        <x:v>ما المقصود بعمر النصف لمادة مشعة؟</x:v>
      </x:c>
      <x:c r="K96" s="20" t="str">
        <x:v>الزمن اللازم لاضمحلال نصف الأنوية المشعة في عينة</x:v>
      </x:c>
      <x:c r="L96" s="20" t="str">
        <x:v>زمن تضاعف كتلة العينة</x:v>
      </x:c>
      <x:c r="M96" s="20" t="str">
        <x:v>زمن انصهار المادة</x:v>
      </x:c>
      <x:c r="N96" s="20" t="str">
        <x:v>عدد البروتونات في النواة</x:v>
      </x:c>
      <x:c r="O96" s="20" t="str">
        <x:v>أ</x:v>
      </x:c>
      <x:c r="P96" s="20" t="str">
        <x:v>عمر النصف هو الزمن الذي ينخفض خلاله عدد الأنوية المشعة إلى نصف قيمته.</x:v>
      </x:c>
      <x:c r="Q96" s="22" t="str">
        <x:v>نصي</x:v>
      </x:c>
      <x:c r="R96" s="22"/>
      <x:c r="S96" s="22" t="str">
        <x:v>محاكي أصلي مستلهم من نمط نافس ومبني على ناتج تعلم رسمي</x:v>
      </x:c>
      <x:c r="T96" s="22" t="str">
        <x:v>https://media.etec.gov.sa/media/sszdnh2h/%D9%86%D9%88%D8%A7%D8%AA%D8%AC-%D8%A7%D9%84%D8%AA%D8%B9%D9%84%D9%85-2026.pdf</x:v>
      </x:c>
      <x:c r="U96" t="str">
        <x:v>هيئة تقويم التعليم والتدريب – نواتج التعلم (صياغة أصلية)</x:v>
      </x:c>
    </x:row>
    <x:row r="97" ht="54" customHeight="1">
      <x:c r="A97" s="22" t="str">
        <x:v>CHEM046</x:v>
      </x:c>
      <x:c r="B97" s="22" t="str">
        <x:v>كيمياء</x:v>
      </x:c>
      <x:c r="C97" s="22" t="str">
        <x:v>العلوم الفيزيائية</x:v>
      </x:c>
      <x:c r="D97" s="22" t="str">
        <x:v>المادة وتفاعلاتها</x:v>
      </x:c>
      <x:c r="E97" s="22" t="str">
        <x:v>1-1-2-5-9</x:v>
      </x:c>
      <x:c r="F97" s="22" t="str">
        <x:v>استخدام النظائر المشعة</x:v>
      </x:c>
      <x:c r="G97" s="22" t="str">
        <x:v>تطبيق</x:v>
      </x:c>
      <x:c r="H97" s="22" t="str">
        <x:v>متوسط</x:v>
      </x:c>
      <x:c r="I97" s="22" t="str">
        <x:v>اختيار من متعدد</x:v>
      </x:c>
      <x:c r="J97" s="20" t="str">
        <x:v>لماذا يمكن استخدام بعض النظائر المشعة في تحديد أعمار مواد قديمة؟</x:v>
      </x:c>
      <x:c r="K97" s="20" t="str">
        <x:v>لأن معدل اضمحلالها معروف ويمكن مقارنة الكمية المتبقية</x:v>
      </x:c>
      <x:c r="L97" s="20" t="str">
        <x:v>لأن كتلتها تزداد مع الزمن</x:v>
      </x:c>
      <x:c r="M97" s="20" t="str">
        <x:v>لأنها توقف الزمن</x:v>
      </x:c>
      <x:c r="N97" s="20" t="str">
        <x:v>لأنها لا تتغير مطلقًا</x:v>
      </x:c>
      <x:c r="O97" s="20" t="str">
        <x:v>أ</x:v>
      </x:c>
      <x:c r="P97" s="20" t="str">
        <x:v>معرفة عمر النصف وقياس الكمية المتبقية يسمحان بتقدير الزمن المنقضي.</x:v>
      </x:c>
      <x:c r="Q97" s="22" t="str">
        <x:v>نصي</x:v>
      </x:c>
      <x:c r="R97" s="22"/>
      <x:c r="S97" s="22" t="str">
        <x:v>محاكي أصلي مستلهم من نمط نافس ومبني على ناتج تعلم رسمي</x:v>
      </x:c>
      <x:c r="T97" s="22" t="str">
        <x:v>https://media.etec.gov.sa/media/sszdnh2h/%D9%86%D9%88%D8%A7%D8%AA%D8%AC-%D8%A7%D9%84%D8%AA%D8%B9%D9%84%D9%85-2026.pdf</x:v>
      </x:c>
      <x:c r="U97" t="str">
        <x:v>هيئة تقويم التعليم والتدريب – نواتج التعلم (صياغة أصلية)</x:v>
      </x:c>
    </x:row>
    <x:row r="98" ht="54" customHeight="1">
      <x:c r="A98" s="22" t="str">
        <x:v>CHEM047</x:v>
      </x:c>
      <x:c r="B98" s="22" t="str">
        <x:v>كيمياء</x:v>
      </x:c>
      <x:c r="C98" s="22" t="str">
        <x:v>العلوم الفيزيائية</x:v>
      </x:c>
      <x:c r="D98" s="22" t="str">
        <x:v>المادة وتفاعلاتها</x:v>
      </x:c>
      <x:c r="E98" s="22" t="str">
        <x:v>9-1-2-5-9</x:v>
      </x:c>
      <x:c r="F98" s="22" t="str">
        <x:v>أثر درجة الحرارة في سرعة التفاعل</x:v>
      </x:c>
      <x:c r="G98" s="22" t="str">
        <x:v>استدلال</x:v>
      </x:c>
      <x:c r="H98" s="22" t="str">
        <x:v>متوسط</x:v>
      </x:c>
      <x:c r="I98" s="22" t="str">
        <x:v>اختيار من متعدد</x:v>
      </x:c>
      <x:c r="J98" s="20" t="str">
        <x:v>لماذا يزداد معدل كثير من التفاعلات عند رفع درجة الحرارة؟</x:v>
      </x:c>
      <x:c r="K98" s="20" t="str">
        <x:v>تزداد حركة الجسيمات وعدد التصادمات الفعالة</x:v>
      </x:c>
      <x:c r="L98" s="20" t="str">
        <x:v>تختفي الجسيمات</x:v>
      </x:c>
      <x:c r="M98" s="20" t="str">
        <x:v>تقل حركة الجسيمات دائمًا</x:v>
      </x:c>
      <x:c r="N98" s="20" t="str">
        <x:v>تتوقف التصادمات</x:v>
      </x:c>
      <x:c r="O98" s="20" t="str">
        <x:v>أ</x:v>
      </x:c>
      <x:c r="P98" s="20" t="str">
        <x:v>ارتفاع درجة الحرارة يزيد الطاقة الحركية ويزيد فرص التصادمات الفعالة.</x:v>
      </x:c>
      <x:c r="Q98" s="22" t="str">
        <x:v>نصي</x:v>
      </x:c>
      <x:c r="R98" s="22"/>
      <x:c r="S98" s="22" t="str">
        <x:v>محاكي أصلي مستلهم من نمط نافس ومبني على ناتج تعلم رسمي</x:v>
      </x:c>
      <x:c r="T98" s="22" t="str">
        <x:v>https://media.etec.gov.sa/media/sszdnh2h/%D9%86%D9%88%D8%A7%D8%AA%D8%AC-%D8%A7%D9%84%D8%AA%D8%B9%D9%84%D9%85-2026.pdf</x:v>
      </x:c>
      <x:c r="U98" t="str">
        <x:v>هيئة تقويم التعليم والتدريب – نواتج التعلم (صياغة أصلية)</x:v>
      </x:c>
    </x:row>
    <x:row r="99" ht="54" customHeight="1">
      <x:c r="A99" s="22" t="str">
        <x:v>CHEM048</x:v>
      </x:c>
      <x:c r="B99" s="22" t="str">
        <x:v>كيمياء</x:v>
      </x:c>
      <x:c r="C99" s="22" t="str">
        <x:v>العلوم الفيزيائية</x:v>
      </x:c>
      <x:c r="D99" s="22" t="str">
        <x:v>المادة وتفاعلاتها</x:v>
      </x:c>
      <x:c r="E99" s="22" t="str">
        <x:v>9-1-2-5-9</x:v>
      </x:c>
      <x:c r="F99" s="22" t="str">
        <x:v>دور المحفز</x:v>
      </x:c>
      <x:c r="G99" s="22" t="str">
        <x:v>معرفة</x:v>
      </x:c>
      <x:c r="H99" s="22" t="str">
        <x:v>سهل</x:v>
      </x:c>
      <x:c r="I99" s="22" t="str">
        <x:v>اختيار من متعدد</x:v>
      </x:c>
      <x:c r="J99" s="20" t="str">
        <x:v>ما وظيفة المحفز في تفاعل كيميائي؟</x:v>
      </x:c>
      <x:c r="K99" s="20" t="str">
        <x:v>زيادة سرعة التفاعل دون أن يُستهلك بصورة دائمة</x:v>
      </x:c>
      <x:c r="L99" s="20" t="str">
        <x:v>زيادة كتلة النواتج فوق المتفاعلات</x:v>
      </x:c>
      <x:c r="M99" s="20" t="str">
        <x:v>تغيير هوية العناصر</x:v>
      </x:c>
      <x:c r="N99" s="20" t="str">
        <x:v>منع جميع التصادمات</x:v>
      </x:c>
      <x:c r="O99" s="20" t="str">
        <x:v>أ</x:v>
      </x:c>
      <x:c r="P99" s="20" t="str">
        <x:v>يوفر المحفز مسارًا أقل طاقة تنشيط فيسرع التفاعل دون أن يستهلك نهائيًا.</x:v>
      </x:c>
      <x:c r="Q99" s="22" t="str">
        <x:v>نصي</x:v>
      </x:c>
      <x:c r="R99" s="22"/>
      <x:c r="S99" s="22" t="str">
        <x:v>محاكي أصلي مستلهم من نمط نافس ومبني على ناتج تعلم رسمي</x:v>
      </x:c>
      <x:c r="T99" s="22" t="str">
        <x:v>https://media.etec.gov.sa/media/sszdnh2h/%D9%86%D9%88%D8%A7%D8%AA%D8%AC-%D8%A7%D9%84%D8%AA%D8%B9%D9%84%D9%85-2026.pdf</x:v>
      </x:c>
      <x:c r="U99" t="str">
        <x:v>هيئة تقويم التعليم والتدريب – نواتج التعلم (صياغة أصلية)</x:v>
      </x:c>
    </x:row>
    <x:row r="100" ht="54" customHeight="1">
      <x:c r="A100" s="22" t="str">
        <x:v>CHEM049</x:v>
      </x:c>
      <x:c r="B100" s="22" t="str">
        <x:v>كيمياء</x:v>
      </x:c>
      <x:c r="C100" s="22" t="str">
        <x:v>العلوم الفيزيائية</x:v>
      </x:c>
      <x:c r="D100" s="22" t="str">
        <x:v>المادة وتفاعلاتها</x:v>
      </x:c>
      <x:c r="E100" s="22" t="str">
        <x:v>9-1-2-5-9</x:v>
      </x:c>
      <x:c r="F100" s="22" t="str">
        <x:v>أثر مساحة السطح</x:v>
      </x:c>
      <x:c r="G100" s="22" t="str">
        <x:v>استدلال</x:v>
      </x:c>
      <x:c r="H100" s="22" t="str">
        <x:v>متوسط</x:v>
      </x:c>
      <x:c r="I100" s="22" t="str">
        <x:v>اختيار من متعدد</x:v>
      </x:c>
      <x:c r="J100" s="20" t="str">
        <x:v>يتفاعل مسحوق كربونات الكالسيوم أسرع من قطعة كبيرة لها الكتلة نفسها مع الحمض. ما السبب؟</x:v>
      </x:c>
      <x:c r="K100" s="20" t="str">
        <x:v>للمسحوق مساحة سطح أكبر للتصادمات</x:v>
      </x:c>
      <x:c r="L100" s="20" t="str">
        <x:v>للمسحوق عدد بروتونات مختلف</x:v>
      </x:c>
      <x:c r="M100" s="20" t="str">
        <x:v>القطعة الكبيرة ليست مادة</x:v>
      </x:c>
      <x:c r="N100" s="20" t="str">
        <x:v>المسحوق يخفض درجة الحرارة دائمًا</x:v>
      </x:c>
      <x:c r="O100" s="20" t="str">
        <x:v>أ</x:v>
      </x:c>
      <x:c r="P100" s="20" t="str">
        <x:v>زيادة مساحة السطح تعرض مزيدًا من الجسيمات للتصادم مع الحمض.</x:v>
      </x:c>
      <x:c r="Q100" s="22" t="str">
        <x:v>نصي</x:v>
      </x:c>
      <x:c r="R100" s="22"/>
      <x:c r="S100" s="22" t="str">
        <x:v>محاكي أصلي مستلهم من نمط نافس ومبني على ناتج تعلم رسمي</x:v>
      </x:c>
      <x:c r="T100" s="22" t="str">
        <x:v>https://media.etec.gov.sa/media/sszdnh2h/%D9%86%D9%88%D8%A7%D8%AA%D8%AC-%D8%A7%D9%84%D8%AA%D8%B9%D9%84%D9%85-2026.pdf</x:v>
      </x:c>
      <x:c r="U100" t="str">
        <x:v>هيئة تقويم التعليم والتدريب – نواتج التعلم (صياغة أصلية)</x:v>
      </x:c>
    </x:row>
    <x:row r="101" ht="54" customHeight="1">
      <x:c r="A101" s="22" t="str">
        <x:v>CHEM050</x:v>
      </x:c>
      <x:c r="B101" s="22" t="str">
        <x:v>كيمياء</x:v>
      </x:c>
      <x:c r="C101" s="22" t="str">
        <x:v>العلوم الفيزيائية</x:v>
      </x:c>
      <x:c r="D101" s="22" t="str">
        <x:v>المادة وتفاعلاتها</x:v>
      </x:c>
      <x:c r="E101" s="22" t="str">
        <x:v>9-1-2-5-9</x:v>
      </x:c>
      <x:c r="F101" s="22" t="str">
        <x:v>أثر التركيز في سرعة التفاعل</x:v>
      </x:c>
      <x:c r="G101" s="22" t="str">
        <x:v>استدلال</x:v>
      </x:c>
      <x:c r="H101" s="22" t="str">
        <x:v>متوسط</x:v>
      </x:c>
      <x:c r="I101" s="22" t="str">
        <x:v>اختيار من متعدد</x:v>
      </x:c>
      <x:c r="J101" s="20" t="str">
        <x:v>عند زيادة تركيز أحد المتفاعلات في محلول، يزداد معدل التفاعل غالبًا لأن:</x:v>
      </x:c>
      <x:c r="K101" s="20" t="str">
        <x:v>عدد الجسيمات في الحجم نفسه يزداد فتزداد التصادمات</x:v>
      </x:c>
      <x:c r="L101" s="20" t="str">
        <x:v>الجسيمات تتوقف عن الحركة</x:v>
      </x:c>
      <x:c r="M101" s="20" t="str">
        <x:v>درجة التجمد تصبح صفرًا دائمًا</x:v>
      </x:c>
      <x:c r="N101" s="20" t="str">
        <x:v>عدد النيوترونات يتغير</x:v>
      </x:c>
      <x:c r="O101" s="20" t="str">
        <x:v>أ</x:v>
      </x:c>
      <x:c r="P101" s="20" t="str">
        <x:v>التركيز الأعلى يعني جسيمات أكثر في الحجم نفسه وفرص تصادم أكبر.</x:v>
      </x:c>
      <x:c r="Q101" s="22" t="str">
        <x:v>نصي</x:v>
      </x:c>
      <x:c r="R101" s="22"/>
      <x:c r="S101" s="22" t="str">
        <x:v>محاكي أصلي مستلهم من نمط نافس ومبني على ناتج تعلم رسمي</x:v>
      </x:c>
      <x:c r="T101" s="22" t="str">
        <x:v>https://media.etec.gov.sa/media/sszdnh2h/%D9%86%D9%88%D8%A7%D8%AA%D8%AC-%D8%A7%D9%84%D8%AA%D8%B9%D9%84%D9%85-2026.pdf</x:v>
      </x:c>
      <x:c r="U101" t="str">
        <x:v>هيئة تقويم التعليم والتدريب – نواتج التعلم (صياغة أصلية)</x:v>
      </x:c>
    </x:row>
    <x:row r="102" ht="54" customHeight="1">
      <x:c r="A102" s="24" t="str">
        <x:v>PHY001</x:v>
      </x:c>
      <x:c r="B102" s="24" t="str">
        <x:v>فيزياء</x:v>
      </x:c>
      <x:c r="C102" s="24" t="str">
        <x:v>العلوم الفيزيائية</x:v>
      </x:c>
      <x:c r="D102" s="24" t="str">
        <x:v>الحركة والقوى</x:v>
      </x:c>
      <x:c r="E102" s="24" t="str">
        <x:v>1-2-2-5-9</x:v>
      </x:c>
      <x:c r="F102" s="24" t="str">
        <x:v>حساب السرعة</x:v>
      </x:c>
      <x:c r="G102" s="24" t="str">
        <x:v>تطبيق</x:v>
      </x:c>
      <x:c r="H102" s="24" t="str">
        <x:v>سهل</x:v>
      </x:c>
      <x:c r="I102" s="24" t="str">
        <x:v>اختيار من متعدد</x:v>
      </x:c>
      <x:c r="J102" s="20" t="str">
        <x:v>قطع طالب 150 مترًا في 30 ثانية بسرعة متوسطة ثابتة. ما سرعته؟</x:v>
      </x:c>
      <x:c r="K102" s="20" t="str">
        <x:v>3 m/s</x:v>
      </x:c>
      <x:c r="L102" s="20" t="str">
        <x:v>5 m/s</x:v>
      </x:c>
      <x:c r="M102" s="20" t="str">
        <x:v>30 m/s</x:v>
      </x:c>
      <x:c r="N102" s="20" t="str">
        <x:v>180 m/s</x:v>
      </x:c>
      <x:c r="O102" s="20" t="str">
        <x:v>ب</x:v>
      </x:c>
      <x:c r="P102" s="20" t="str">
        <x:v>السرعة = المسافة ÷ الزمن = 150 ÷ 30 = 5 m/s.</x:v>
      </x:c>
      <x:c r="Q102" s="24" t="str">
        <x:v>نصي</x:v>
      </x:c>
      <x:c r="R102" s="24"/>
      <x:c r="S102" s="24" t="str">
        <x:v>دفعة أولى – محاكي أصلي مبني على ناتج تعلم رسمي</x:v>
      </x:c>
      <x:c r="T102" s="24" t="str">
        <x:v>https://media.etec.gov.sa/media/sszdnh2h/%D9%86%D9%88%D8%A7%D8%AA%D8%AC-%D8%A7%D9%84%D8%AA%D8%B9%D9%84%D9%85-2026.pdf</x:v>
      </x:c>
      <x:c r="U102" t="str">
        <x:v>هيئة تقويم التعليم والتدريب – نواتج التعلم (صياغة أصلية)</x:v>
      </x:c>
    </x:row>
    <x:row r="103" ht="54" customHeight="1">
      <x:c r="A103" s="24" t="str">
        <x:v>PHY002</x:v>
      </x:c>
      <x:c r="B103" s="24" t="str">
        <x:v>فيزياء</x:v>
      </x:c>
      <x:c r="C103" s="24" t="str">
        <x:v>العلوم الفيزيائية</x:v>
      </x:c>
      <x:c r="D103" s="24" t="str">
        <x:v>الحركة والقوى</x:v>
      </x:c>
      <x:c r="E103" s="24" t="str">
        <x:v>1-2-2-5-9</x:v>
      </x:c>
      <x:c r="F103" s="24" t="str">
        <x:v>حساب التسارع</x:v>
      </x:c>
      <x:c r="G103" s="24" t="str">
        <x:v>تطبيق</x:v>
      </x:c>
      <x:c r="H103" s="24" t="str">
        <x:v>متوسط</x:v>
      </x:c>
      <x:c r="I103" s="24" t="str">
        <x:v>اختيار من متعدد</x:v>
      </x:c>
      <x:c r="J103" s="20" t="str">
        <x:v>ازدادت سرعة سيارة من 10 m/s إلى 22 m/s خلال 4 s. ما متوسط تسارعها؟</x:v>
      </x:c>
      <x:c r="K103" s="20" t="str">
        <x:v>2 m/s²</x:v>
      </x:c>
      <x:c r="L103" s="20" t="str">
        <x:v>3 m/s²</x:v>
      </x:c>
      <x:c r="M103" s="20" t="str">
        <x:v>8 m/s²</x:v>
      </x:c>
      <x:c r="N103" s="20" t="str">
        <x:v>32 m/s²</x:v>
      </x:c>
      <x:c r="O103" s="20" t="str">
        <x:v>ب</x:v>
      </x:c>
      <x:c r="P103" s="20" t="str">
        <x:v>التسارع = التغير في السرعة ÷ الزمن = (22-10)÷4 = 3 m/s².</x:v>
      </x:c>
      <x:c r="Q103" s="24" t="str">
        <x:v>جدول</x:v>
      </x:c>
      <x:c r="R103" s="24" t="str">
        <x:v>جدول سرعة ابتدائية ونهائية وزمن للحركة</x:v>
      </x:c>
      <x:c r="S103" s="24" t="str">
        <x:v>دفعة أولى – محاكي أصلي مبني على ناتج تعلم رسمي</x:v>
      </x:c>
      <x:c r="T103" s="24" t="str">
        <x:v>https://media.etec.gov.sa/media/sszdnh2h/%D9%86%D9%88%D8%A7%D8%AA%D8%AC-%D8%A7%D9%84%D8%AA%D8%B9%D9%84%D9%85-2026.pdf</x:v>
      </x:c>
      <x:c r="U103" t="str">
        <x:v>هيئة تقويم التعليم والتدريب – نواتج التعلم (صياغة أصلية)</x:v>
      </x:c>
    </x:row>
    <x:row r="104" ht="54" customHeight="1">
      <x:c r="A104" s="24" t="str">
        <x:v>PHY003</x:v>
      </x:c>
      <x:c r="B104" s="24" t="str">
        <x:v>فيزياء</x:v>
      </x:c>
      <x:c r="C104" s="24" t="str">
        <x:v>العلوم الفيزيائية</x:v>
      </x:c>
      <x:c r="D104" s="24" t="str">
        <x:v>الحركة والقوى</x:v>
      </x:c>
      <x:c r="E104" s="24" t="str">
        <x:v>2-2-2-5-9</x:v>
      </x:c>
      <x:c r="F104" s="24" t="str">
        <x:v>حساب الزخم</x:v>
      </x:c>
      <x:c r="G104" s="24" t="str">
        <x:v>تطبيق</x:v>
      </x:c>
      <x:c r="H104" s="24" t="str">
        <x:v>متوسط</x:v>
      </x:c>
      <x:c r="I104" s="24" t="str">
        <x:v>اختيار من متعدد</x:v>
      </x:c>
      <x:c r="J104" s="20" t="str">
        <x:v>كرة كتلتها 2 kg تتحرك بسرعة 6 m/s. ما مقدار زخمها؟</x:v>
      </x:c>
      <x:c r="K104" s="20" t="str">
        <x:v>3 kg·m/s</x:v>
      </x:c>
      <x:c r="L104" s="20" t="str">
        <x:v>8 kg·m/s</x:v>
      </x:c>
      <x:c r="M104" s="20" t="str">
        <x:v>12 kg·m/s</x:v>
      </x:c>
      <x:c r="N104" s="20" t="str">
        <x:v>36 kg·m/s</x:v>
      </x:c>
      <x:c r="O104" s="20" t="str">
        <x:v>ج</x:v>
      </x:c>
      <x:c r="P104" s="20" t="str">
        <x:v>الزخم = الكتلة × السرعة = 2 × 6 = 12 kg·m/s.</x:v>
      </x:c>
      <x:c r="Q104" s="24" t="str">
        <x:v>نصي</x:v>
      </x:c>
      <x:c r="R104" s="24"/>
      <x:c r="S104" s="24" t="str">
        <x:v>دفعة أولى – محاكي أصلي مبني على ناتج تعلم رسمي</x:v>
      </x:c>
      <x:c r="T104" s="24" t="str">
        <x:v>https://media.etec.gov.sa/media/sszdnh2h/%D9%86%D9%88%D8%A7%D8%AA%D8%AC-%D8%A7%D9%84%D8%AA%D8%B9%D9%84%D9%85-2026.pdf</x:v>
      </x:c>
      <x:c r="U104" t="str">
        <x:v>هيئة تقويم التعليم والتدريب – نواتج التعلم (صياغة أصلية)</x:v>
      </x:c>
    </x:row>
    <x:row r="105" ht="54" customHeight="1">
      <x:c r="A105" s="24" t="str">
        <x:v>PHY004</x:v>
      </x:c>
      <x:c r="B105" s="24" t="str">
        <x:v>فيزياء</x:v>
      </x:c>
      <x:c r="C105" s="24" t="str">
        <x:v>العلوم الفيزيائية</x:v>
      </x:c>
      <x:c r="D105" s="24" t="str">
        <x:v>الحركة والقوى</x:v>
      </x:c>
      <x:c r="E105" s="24" t="str">
        <x:v>3-2-2-5-9</x:v>
      </x:c>
      <x:c r="F105" s="24" t="str">
        <x:v>تمييز أنواع الاحتكاك</x:v>
      </x:c>
      <x:c r="G105" s="24" t="str">
        <x:v>تطبيق</x:v>
      </x:c>
      <x:c r="H105" s="24" t="str">
        <x:v>متوسط</x:v>
      </x:c>
      <x:c r="I105" s="24" t="str">
        <x:v>اختيار من متعدد</x:v>
      </x:c>
      <x:c r="J105" s="20" t="str">
        <x:v>أي موقف يمثل احتكاك التدحرج بصورة أوضح؟</x:v>
      </x:c>
      <x:c r="K105" s="20" t="str">
        <x:v>كتاب ساكن على طاولة</x:v>
      </x:c>
      <x:c r="L105" s="20" t="str">
        <x:v>إطار دراجة يدور على الطريق</x:v>
      </x:c>
      <x:c r="M105" s="20" t="str">
        <x:v>صندوق ينزلق على الأرض</x:v>
      </x:c>
      <x:c r="N105" s="20" t="str">
        <x:v>يد تمسك كوبًا دون حركة</x:v>
      </x:c>
      <x:c r="O105" s="20" t="str">
        <x:v>ب</x:v>
      </x:c>
      <x:c r="P105" s="20" t="str">
        <x:v>احتكاك التدحرج يحدث عندما يتدحرج جسم على سطح.</x:v>
      </x:c>
      <x:c r="Q105" s="24" t="str">
        <x:v>نصي</x:v>
      </x:c>
      <x:c r="R105" s="24"/>
      <x:c r="S105" s="24" t="str">
        <x:v>دفعة أولى – محاكي أصلي مبني على ناتج تعلم رسمي</x:v>
      </x:c>
      <x:c r="T105" s="24" t="str">
        <x:v>https://media.etec.gov.sa/media/sszdnh2h/%D9%86%D9%88%D8%A7%D8%AA%D8%AC-%D8%A7%D9%84%D8%AA%D8%B9%D9%84%D9%85-2026.pdf</x:v>
      </x:c>
      <x:c r="U105" t="str">
        <x:v>هيئة تقويم التعليم والتدريب – نواتج التعلم (صياغة أصلية)</x:v>
      </x:c>
    </x:row>
    <x:row r="106" ht="54" customHeight="1">
      <x:c r="A106" s="24" t="str">
        <x:v>PHY005</x:v>
      </x:c>
      <x:c r="B106" s="24" t="str">
        <x:v>فيزياء</x:v>
      </x:c>
      <x:c r="C106" s="24" t="str">
        <x:v>العلوم الفيزيائية</x:v>
      </x:c>
      <x:c r="D106" s="24" t="str">
        <x:v>الحركة والقوى</x:v>
      </x:c>
      <x:c r="E106" s="24" t="str">
        <x:v>4-2-2-5-9</x:v>
      </x:c>
      <x:c r="F106" s="24" t="str">
        <x:v>القصور الذاتي وقانون نيوتن الأول</x:v>
      </x:c>
      <x:c r="G106" s="24" t="str">
        <x:v>تطبيق</x:v>
      </x:c>
      <x:c r="H106" s="24" t="str">
        <x:v>متوسط</x:v>
      </x:c>
      <x:c r="I106" s="24" t="str">
        <x:v>اختيار من متعدد</x:v>
      </x:c>
      <x:c r="J106" s="20" t="str">
        <x:v>عند توقف سيارة فجأة يندفع الراكب إلى الأمام. ما المفهوم الذي يفسر ذلك أساسًا؟</x:v>
      </x:c>
      <x:c r="K106" s="20" t="str">
        <x:v>الطفو</x:v>
      </x:c>
      <x:c r="L106" s="20" t="str">
        <x:v>القصور الذاتي</x:v>
      </x:c>
      <x:c r="M106" s="20" t="str">
        <x:v>الانكسار</x:v>
      </x:c>
      <x:c r="N106" s="20" t="str">
        <x:v>التوصيل الحراري</x:v>
      </x:c>
      <x:c r="O106" s="20" t="str">
        <x:v>ب</x:v>
      </x:c>
      <x:c r="P106" s="20" t="str">
        <x:v>يميل جسم الراكب إلى الاستمرار في حالته الحركية وفق القصور الذاتي.</x:v>
      </x:c>
      <x:c r="Q106" s="24" t="str">
        <x:v>صورة</x:v>
      </x:c>
      <x:c r="R106" s="24" t="str">
        <x:v>رسم جانبي بسيط لراكب بحزام أمان داخل سيارة تتوقف فجأة</x:v>
      </x:c>
      <x:c r="S106" s="24" t="str">
        <x:v>دفعة أولى – محاكي أصلي مبني على ناتج تعلم رسمي</x:v>
      </x:c>
      <x:c r="T106" s="24" t="str">
        <x:v>https://media.etec.gov.sa/media/sszdnh2h/%D9%86%D9%88%D8%A7%D8%AA%D8%AC-%D8%A7%D9%84%D8%AA%D8%B9%D9%84%D9%85-2026.pdf</x:v>
      </x:c>
      <x:c r="U106" t="str">
        <x:v>هيئة تقويم التعليم والتدريب – نواتج التعلم (صياغة أصلية)</x:v>
      </x:c>
    </x:row>
    <x:row r="107" ht="54" customHeight="1">
      <x:c r="A107" s="24" t="str">
        <x:v>PHY006</x:v>
      </x:c>
      <x:c r="B107" s="24" t="str">
        <x:v>فيزياء</x:v>
      </x:c>
      <x:c r="C107" s="24" t="str">
        <x:v>العلوم الفيزيائية</x:v>
      </x:c>
      <x:c r="D107" s="24" t="str">
        <x:v>الحركة والقوى</x:v>
      </x:c>
      <x:c r="E107" s="24" t="str">
        <x:v>5-2-2-5-9</x:v>
      </x:c>
      <x:c r="F107" s="24" t="str">
        <x:v>قانون نيوتن الثاني</x:v>
      </x:c>
      <x:c r="G107" s="24" t="str">
        <x:v>استدلال</x:v>
      </x:c>
      <x:c r="H107" s="24" t="str">
        <x:v>متوسط</x:v>
      </x:c>
      <x:c r="I107" s="24" t="str">
        <x:v>اختيار من متعدد</x:v>
      </x:c>
      <x:c r="J107" s="20" t="str">
        <x:v>تؤثر القوة نفسها في عربتين، كتلة الأولى 2 kg والثانية 4 kg. أيهما يكون تسارعها أكبر؟</x:v>
      </x:c>
      <x:c r="K107" s="20" t="str">
        <x:v>الأولى</x:v>
      </x:c>
      <x:c r="L107" s="20" t="str">
        <x:v>الثانية</x:v>
      </x:c>
      <x:c r="M107" s="20" t="str">
        <x:v>متساويان</x:v>
      </x:c>
      <x:c r="N107" s="20" t="str">
        <x:v>لا يمكن المقارنة</x:v>
      </x:c>
      <x:c r="O107" s="20" t="str">
        <x:v>أ</x:v>
      </x:c>
      <x:c r="P107" s="20" t="str">
        <x:v>وفق F=ma، عند ثبات القوة يكون التسارع عكسيًا مع الكتلة، لذا تتسارع العربة الأقل كتلة أكثر.</x:v>
      </x:c>
      <x:c r="Q107" s="24" t="str">
        <x:v>نصي</x:v>
      </x:c>
      <x:c r="R107" s="24"/>
      <x:c r="S107" s="24" t="str">
        <x:v>دفعة أولى – محاكي أصلي مبني على ناتج تعلم رسمي</x:v>
      </x:c>
      <x:c r="T107" s="24" t="str">
        <x:v>https://media.etec.gov.sa/media/sszdnh2h/%D9%86%D9%88%D8%A7%D8%AA%D8%AC-%D8%A7%D9%84%D8%AA%D8%B9%D9%84%D9%85-2026.pdf</x:v>
      </x:c>
      <x:c r="U107" t="str">
        <x:v>هيئة تقويم التعليم والتدريب – نواتج التعلم (صياغة أصلية)</x:v>
      </x:c>
    </x:row>
    <x:row r="108" ht="54" customHeight="1">
      <x:c r="A108" s="24" t="str">
        <x:v>PHY007</x:v>
      </x:c>
      <x:c r="B108" s="24" t="str">
        <x:v>فيزياء</x:v>
      </x:c>
      <x:c r="C108" s="24" t="str">
        <x:v>العلوم الفيزيائية</x:v>
      </x:c>
      <x:c r="D108" s="24" t="str">
        <x:v>الكهرومغناطيسية</x:v>
      </x:c>
      <x:c r="E108" s="24" t="str">
        <x:v>1-3-2-5-9</x:v>
      </x:c>
      <x:c r="F108" s="24" t="str">
        <x:v>تطبيق قانون أوم</x:v>
      </x:c>
      <x:c r="G108" s="24" t="str">
        <x:v>تطبيق</x:v>
      </x:c>
      <x:c r="H108" s="24" t="str">
        <x:v>متوسط</x:v>
      </x:c>
      <x:c r="I108" s="24" t="str">
        <x:v>اختيار من متعدد</x:v>
      </x:c>
      <x:c r="J108" s="20" t="str">
        <x:v>إذا كان فرق الجهد عبر مقاومة 12 V والمقاومة 4 Ω، فما شدة التيار؟</x:v>
      </x:c>
      <x:c r="K108" s="20" t="str">
        <x:v>0.33 A</x:v>
      </x:c>
      <x:c r="L108" s="20" t="str">
        <x:v>3 A</x:v>
      </x:c>
      <x:c r="M108" s="20" t="str">
        <x:v>8 A</x:v>
      </x:c>
      <x:c r="N108" s="20" t="str">
        <x:v>48 A</x:v>
      </x:c>
      <x:c r="O108" s="20" t="str">
        <x:v>ب</x:v>
      </x:c>
      <x:c r="P108" s="20" t="str">
        <x:v>قانون أوم: I = V/R = 12/4 = 3 A.</x:v>
      </x:c>
      <x:c r="Q108" s="24" t="str">
        <x:v>رسم</x:v>
      </x:c>
      <x:c r="R108" s="24" t="str">
        <x:v>دائرة بسيطة توضح مقاومة 6Ω وتيار 2A ومصدر جهد</x:v>
      </x:c>
      <x:c r="S108" s="24" t="str">
        <x:v>دفعة أولى – محاكي أصلي مبني على ناتج تعلم رسمي</x:v>
      </x:c>
      <x:c r="T108" s="24" t="str">
        <x:v>https://media.etec.gov.sa/media/sszdnh2h/%D9%86%D9%88%D8%A7%D8%AA%D8%AC-%D8%A7%D9%84%D8%AA%D8%B9%D9%84%D9%85-2026.pdf</x:v>
      </x:c>
      <x:c r="U108" t="str">
        <x:v>هيئة تقويم التعليم والتدريب – نواتج التعلم (صياغة أصلية)</x:v>
      </x:c>
    </x:row>
    <x:row r="109" ht="54" customHeight="1">
      <x:c r="A109" s="24" t="str">
        <x:v>PHY008</x:v>
      </x:c>
      <x:c r="B109" s="24" t="str">
        <x:v>فيزياء</x:v>
      </x:c>
      <x:c r="C109" s="24" t="str">
        <x:v>العلوم الفيزيائية</x:v>
      </x:c>
      <x:c r="D109" s="24" t="str">
        <x:v>الكهرومغناطيسية</x:v>
      </x:c>
      <x:c r="E109" s="24" t="str">
        <x:v>2-3-2-5-9</x:v>
      </x:c>
      <x:c r="F109" s="24" t="str">
        <x:v>المقارنة بين التوالي والتوازي</x:v>
      </x:c>
      <x:c r="G109" s="24" t="str">
        <x:v>استدلال</x:v>
      </x:c>
      <x:c r="H109" s="24" t="str">
        <x:v>متوسط</x:v>
      </x:c>
      <x:c r="I109" s="24" t="str">
        <x:v>اختيار من متعدد</x:v>
      </x:c>
      <x:c r="J109" s="20" t="str">
        <x:v>في دائرة منزلية موصلة على التوازي، انطفأ مصباح واحد بسبب تلفه. ماذا يحدث عادة للمصابيح الأخرى؟</x:v>
      </x:c>
      <x:c r="K109" s="20" t="str">
        <x:v>تنطفئ جميعها دائمًا</x:v>
      </x:c>
      <x:c r="L109" s="20" t="str">
        <x:v>تستمر في العمل لأن لكل فرع مسارًا مستقلًا</x:v>
      </x:c>
      <x:c r="M109" s="20" t="str">
        <x:v>يزداد عدد البطاريات</x:v>
      </x:c>
      <x:c r="N109" s="20" t="str">
        <x:v>يتوقف التيار في المصدر نهائيًا</x:v>
      </x:c>
      <x:c r="O109" s="20" t="str">
        <x:v>ب</x:v>
      </x:c>
      <x:c r="P109" s="20" t="str">
        <x:v>في التوازي لكل فرع مسار مستقل، لذلك لا يؤدي انقطاع فرع واحد بالضرورة إلى توقف بقية الفروع.</x:v>
      </x:c>
      <x:c r="Q109" s="24" t="str">
        <x:v>رسم</x:v>
      </x:c>
      <x:c r="R109" s="24" t="str">
        <x:v>رسم دائرة كهربائية بسيطة على التوازي بثلاثة مصابيح</x:v>
      </x:c>
      <x:c r="S109" s="24" t="str">
        <x:v>دفعة أولى – محاكي أصلي مبني على ناتج تعلم رسمي</x:v>
      </x:c>
      <x:c r="T109" s="24" t="str">
        <x:v>https://media.etec.gov.sa/media/sszdnh2h/%D9%86%D9%88%D8%A7%D8%AA%D8%AC-%D8%A7%D9%84%D8%AA%D8%B9%D9%84%D9%85-2026.pdf</x:v>
      </x:c>
      <x:c r="U109" t="str">
        <x:v>هيئة تقويم التعليم والتدريب – نواتج التعلم (صياغة أصلية)</x:v>
      </x:c>
    </x:row>
    <x:row r="110" ht="54" customHeight="1">
      <x:c r="A110" s="24" t="str">
        <x:v>PHY009</x:v>
      </x:c>
      <x:c r="B110" s="24" t="str">
        <x:v>فيزياء</x:v>
      </x:c>
      <x:c r="C110" s="24" t="str">
        <x:v>العلوم الفيزيائية</x:v>
      </x:c>
      <x:c r="D110" s="24" t="str">
        <x:v>الكهرومغناطيسية</x:v>
      </x:c>
      <x:c r="E110" s="24" t="str">
        <x:v>4-3-2-5-9</x:v>
      </x:c>
      <x:c r="F110" s="24" t="str">
        <x:v>تحول الطاقة باستخدام المجال المغناطيسي</x:v>
      </x:c>
      <x:c r="G110" s="24" t="str">
        <x:v>تطبيق</x:v>
      </x:c>
      <x:c r="H110" s="24" t="str">
        <x:v>متوسط</x:v>
      </x:c>
      <x:c r="I110" s="24" t="str">
        <x:v>اختيار من متعدد</x:v>
      </x:c>
      <x:c r="J110" s="20" t="str">
        <x:v>أي جهاز يحول الطاقة الكهربائية إلى طاقة ميكانيكية اعتمادًا على التأثير المغناطيسي للتيار؟</x:v>
      </x:c>
      <x:c r="K110" s="20" t="str">
        <x:v>المحرك الكهربائي</x:v>
      </x:c>
      <x:c r="L110" s="20" t="str">
        <x:v>البطارية</x:v>
      </x:c>
      <x:c r="M110" s="20" t="str">
        <x:v>المولد الكهربائي</x:v>
      </x:c>
      <x:c r="N110" s="20" t="str">
        <x:v>الخلية الشمسية</x:v>
      </x:c>
      <x:c r="O110" s="20" t="str">
        <x:v>أ</x:v>
      </x:c>
      <x:c r="P110" s="20" t="str">
        <x:v>المحرك الكهربائي يستخدم التفاعل بين التيار والمجال المغناطيسي لإنتاج حركة ميكانيكية.</x:v>
      </x:c>
      <x:c r="Q110" s="24" t="str">
        <x:v>نصي</x:v>
      </x:c>
      <x:c r="R110" s="24"/>
      <x:c r="S110" s="24" t="str">
        <x:v>دفعة أولى – محاكي أصلي مبني على ناتج تعلم رسمي</x:v>
      </x:c>
      <x:c r="T110" s="24" t="str">
        <x:v>https://media.etec.gov.sa/media/sszdnh2h/%D9%86%D9%88%D8%A7%D8%AA%D8%AC-%D8%A7%D9%84%D8%AA%D8%B9%D9%84%D9%85-2026.pdf</x:v>
      </x:c>
      <x:c r="U110" t="str">
        <x:v>هيئة تقويم التعليم والتدريب – نواتج التعلم (صياغة أصلية)</x:v>
      </x:c>
    </x:row>
    <x:row r="111" ht="54" customHeight="1">
      <x:c r="A111" s="24" t="str">
        <x:v>PHY010</x:v>
      </x:c>
      <x:c r="B111" s="24" t="str">
        <x:v>فيزياء</x:v>
      </x:c>
      <x:c r="C111" s="24" t="str">
        <x:v>العلوم الفيزيائية</x:v>
      </x:c>
      <x:c r="D111" s="24" t="str">
        <x:v>الموجات والاهتزازات</x:v>
      </x:c>
      <x:c r="E111" s="24" t="str">
        <x:v>1-5-2-5-9 / 2-5-2-5-9</x:v>
      </x:c>
      <x:c r="F111" s="24" t="str">
        <x:v>تفسير خصائص الصوت والضوء</x:v>
      </x:c>
      <x:c r="G111" s="24" t="str">
        <x:v>استدلال</x:v>
      </x:c>
      <x:c r="H111" s="24" t="str">
        <x:v>متوسط</x:v>
      </x:c>
      <x:c r="I111" s="24" t="str">
        <x:v>اختيار من متعدد</x:v>
      </x:c>
      <x:c r="J111" s="20" t="str">
        <x:v>أصدر مصدران صوتيان موجتين لهما السعة نفسها، لكن تردد الموجة الأولى أكبر. ما الفرق المتوقع؟</x:v>
      </x:c>
      <x:c r="K111" s="20" t="str">
        <x:v>الأولى أعلى حدة</x:v>
      </x:c>
      <x:c r="L111" s="20" t="str">
        <x:v>الأولى أعلى شدة بسبب التردد فقط</x:v>
      </x:c>
      <x:c r="M111" s="20" t="str">
        <x:v>الثانية أسرع في الهواء دائمًا</x:v>
      </x:c>
      <x:c r="N111" s="20" t="str">
        <x:v>لا يوجد فرق يمكن سماعه</x:v>
      </x:c>
      <x:c r="O111" s="20" t="str">
        <x:v>أ</x:v>
      </x:c>
      <x:c r="P111" s="20" t="str">
        <x:v>حدة الصوت ترتبط بالتردد؛ زيادة التردد تعني صوتًا أعلى حدة مع ثبات الوسط.</x:v>
      </x:c>
      <x:c r="Q111" s="24" t="str">
        <x:v>رسم بياني</x:v>
      </x:c>
      <x:c r="R111" s="24" t="str">
        <x:v>رسم موجتين لهما السعة نفسها وتردد مختلف</x:v>
      </x:c>
      <x:c r="S111" s="24" t="str">
        <x:v>دفعة أولى – محاكي أصلي مبني على ناتج تعلم رسمي</x:v>
      </x:c>
      <x:c r="T111" s="24" t="str">
        <x:v>https://media.etec.gov.sa/media/sszdnh2h/%D9%86%D9%88%D8%A7%D8%AA%D8%AC-%D8%A7%D9%84%D8%AA%D8%B9%D9%84%D9%85-2026.pdf</x:v>
      </x:c>
      <x:c r="U111" t="str">
        <x:v>هيئة تقويم التعليم والتدريب – نواتج التعلم (صياغة أصلية)</x:v>
      </x:c>
    </x:row>
    <x:row r="112" ht="54" customHeight="1">
      <x:c r="A112" s="24" t="str">
        <x:v>PHY011</x:v>
      </x:c>
      <x:c r="B112" s="24" t="str">
        <x:v>فيزياء</x:v>
      </x:c>
      <x:c r="C112" s="24" t="str">
        <x:v>العلوم الفيزيائية</x:v>
      </x:c>
      <x:c r="D112" s="24" t="str">
        <x:v>الحركة والقوى</x:v>
      </x:c>
      <x:c r="E112" s="24" t="str">
        <x:v>1-2-2-5-9</x:v>
      </x:c>
      <x:c r="F112" s="24" t="str">
        <x:v>النقطة المرجعية</x:v>
      </x:c>
      <x:c r="G112" s="24" t="str">
        <x:v>معرفة</x:v>
      </x:c>
      <x:c r="H112" s="24" t="str">
        <x:v>سهل</x:v>
      </x:c>
      <x:c r="I112" s="24" t="str">
        <x:v>اختيار من متعدد</x:v>
      </x:c>
      <x:c r="J112" s="20" t="str">
        <x:v>لتحديد ما إذا كان جسم يتحرك أم لا نحتاج إلى مقارنة موقعه مع:</x:v>
      </x:c>
      <x:c r="K112" s="20" t="str">
        <x:v>نقطة مرجعية</x:v>
      </x:c>
      <x:c r="L112" s="20" t="str">
        <x:v>كتلته فقط</x:v>
      </x:c>
      <x:c r="M112" s="20" t="str">
        <x:v>درجة حرارته</x:v>
      </x:c>
      <x:c r="N112" s="20" t="str">
        <x:v>لونه</x:v>
      </x:c>
      <x:c r="O112" s="20" t="str">
        <x:v>أ</x:v>
      </x:c>
      <x:c r="P112" s="20" t="str">
        <x:v>الحركة توصف بتغير الموقع بالنسبة إلى نقطة مرجعية.</x:v>
      </x:c>
      <x:c r="Q112" s="24" t="str">
        <x:v>نصي</x:v>
      </x:c>
      <x:c r="R112" s="24"/>
      <x:c r="S112" s="24" t="str">
        <x:v>محاكي أصلي مستلهم من نمط نافس ومبني على ناتج تعلم رسمي</x:v>
      </x:c>
      <x:c r="T112" s="24" t="str">
        <x:v>https://media.etec.gov.sa/media/sszdnh2h/%D9%86%D9%88%D8%A7%D8%AA%D8%AC-%D8%A7%D9%84%D8%AA%D8%B9%D9%84%D9%85-2026.pdf</x:v>
      </x:c>
      <x:c r="U112" t="str">
        <x:v>هيئة تقويم التعليم والتدريب – نواتج التعلم (صياغة أصلية)</x:v>
      </x:c>
    </x:row>
    <x:row r="113" ht="54" customHeight="1">
      <x:c r="A113" s="24" t="str">
        <x:v>PHY012</x:v>
      </x:c>
      <x:c r="B113" s="24" t="str">
        <x:v>فيزياء</x:v>
      </x:c>
      <x:c r="C113" s="24" t="str">
        <x:v>العلوم الفيزيائية</x:v>
      </x:c>
      <x:c r="D113" s="24" t="str">
        <x:v>الحركة والقوى</x:v>
      </x:c>
      <x:c r="E113" s="24" t="str">
        <x:v>1-2-2-5-9</x:v>
      </x:c>
      <x:c r="F113" s="24" t="str">
        <x:v>حساب السرعة المتوسطة</x:v>
      </x:c>
      <x:c r="G113" s="24" t="str">
        <x:v>تطبيق</x:v>
      </x:c>
      <x:c r="H113" s="24" t="str">
        <x:v>سهل</x:v>
      </x:c>
      <x:c r="I113" s="24" t="str">
        <x:v>اختيار من متعدد</x:v>
      </x:c>
      <x:c r="J113" s="20" t="str">
        <x:v>قطعت دراجة 240 m خلال 60 s. ما سرعتها المتوسطة؟</x:v>
      </x:c>
      <x:c r="K113" s="20" t="str">
        <x:v>2 m/s</x:v>
      </x:c>
      <x:c r="L113" s="20" t="str">
        <x:v>4 m/s</x:v>
      </x:c>
      <x:c r="M113" s="20" t="str">
        <x:v>60 m/s</x:v>
      </x:c>
      <x:c r="N113" s="20" t="str">
        <x:v>300 m/s</x:v>
      </x:c>
      <x:c r="O113" s="20" t="str">
        <x:v>ب</x:v>
      </x:c>
      <x:c r="P113" s="20" t="str">
        <x:v>السرعة = 240 ÷ 60 = 4 m/s.</x:v>
      </x:c>
      <x:c r="Q113" s="24" t="str">
        <x:v>جدول</x:v>
      </x:c>
      <x:c r="R113" s="24" t="str">
        <x:v>جدول مسافة 240 m وزمن 60 s مع خانة السرعة</x:v>
      </x:c>
      <x:c r="S113" s="24" t="str">
        <x:v>محاكي أصلي مستلهم من نمط نافس ومبني على ناتج تعلم رسمي</x:v>
      </x:c>
      <x:c r="T113" s="24" t="str">
        <x:v>https://media.etec.gov.sa/media/sszdnh2h/%D9%86%D9%88%D8%A7%D8%AA%D8%AC-%D8%A7%D9%84%D8%AA%D8%B9%D9%84%D9%85-2026.pdf</x:v>
      </x:c>
      <x:c r="U113" t="str">
        <x:v>هيئة تقويم التعليم والتدريب – نواتج التعلم (صياغة أصلية)</x:v>
      </x:c>
    </x:row>
    <x:row r="114" ht="54" customHeight="1">
      <x:c r="A114" s="24" t="str">
        <x:v>PHY013</x:v>
      </x:c>
      <x:c r="B114" s="24" t="str">
        <x:v>فيزياء</x:v>
      </x:c>
      <x:c r="C114" s="24" t="str">
        <x:v>العلوم الفيزيائية</x:v>
      </x:c>
      <x:c r="D114" s="24" t="str">
        <x:v>الحركة والقوى</x:v>
      </x:c>
      <x:c r="E114" s="24" t="str">
        <x:v>1-2-2-5-9</x:v>
      </x:c>
      <x:c r="F114" s="24" t="str">
        <x:v>تفسير ميل منحنى المسافة والزمن</x:v>
      </x:c>
      <x:c r="G114" s="24" t="str">
        <x:v>استدلال</x:v>
      </x:c>
      <x:c r="H114" s="24" t="str">
        <x:v>متوسط</x:v>
      </x:c>
      <x:c r="I114" s="24" t="str">
        <x:v>اختيار من متعدد</x:v>
      </x:c>
      <x:c r="J114" s="20" t="str">
        <x:v>في رسم المسافة-الزمن، أي خط يمثل الجسم الأسرع؟</x:v>
      </x:c>
      <x:c r="K114" s="20" t="str">
        <x:v>الخط الأكبر ميلًا</x:v>
      </x:c>
      <x:c r="L114" s="20" t="str">
        <x:v>الخط الأفقي</x:v>
      </x:c>
      <x:c r="M114" s="20" t="str">
        <x:v>الخط الأقل ميلًا دائمًا</x:v>
      </x:c>
      <x:c r="N114" s="20" t="str">
        <x:v>لا علاقة للميل بالسرعة</x:v>
      </x:c>
      <x:c r="O114" s="20" t="str">
        <x:v>أ</x:v>
      </x:c>
      <x:c r="P114" s="20" t="str">
        <x:v>ميل منحنى المسافة-الزمن يمثل مقدار السرعة.</x:v>
      </x:c>
      <x:c r="Q114" s="24" t="str">
        <x:v>رسم بياني</x:v>
      </x:c>
      <x:c r="R114" s="24" t="str">
        <x:v>ثلاثة خطوط مستقيمة من نقطة الأصل بميول مختلفة</x:v>
      </x:c>
      <x:c r="S114" s="24" t="str">
        <x:v>محاكي أصلي مستلهم من نمط نافس ومبني على ناتج تعلم رسمي</x:v>
      </x:c>
      <x:c r="T114" s="24" t="str">
        <x:v>https://media.etec.gov.sa/media/sszdnh2h/%D9%86%D9%88%D8%A7%D8%AA%D8%AC-%D8%A7%D9%84%D8%AA%D8%B9%D9%84%D9%85-2026.pdf</x:v>
      </x:c>
      <x:c r="U114" t="str">
        <x:v>هيئة تقويم التعليم والتدريب – نواتج التعلم (صياغة أصلية)</x:v>
      </x:c>
    </x:row>
    <x:row r="115" ht="54" customHeight="1">
      <x:c r="A115" s="24" t="str">
        <x:v>PHY014</x:v>
      </x:c>
      <x:c r="B115" s="24" t="str">
        <x:v>فيزياء</x:v>
      </x:c>
      <x:c r="C115" s="24" t="str">
        <x:v>العلوم الفيزيائية</x:v>
      </x:c>
      <x:c r="D115" s="24" t="str">
        <x:v>الحركة والقوى</x:v>
      </x:c>
      <x:c r="E115" s="24" t="str">
        <x:v>1-2-2-5-9</x:v>
      </x:c>
      <x:c r="F115" s="24" t="str">
        <x:v>تمييز الحركة المنتظمة</x:v>
      </x:c>
      <x:c r="G115" s="24" t="str">
        <x:v>تطبيق</x:v>
      </x:c>
      <x:c r="H115" s="24" t="str">
        <x:v>متوسط</x:v>
      </x:c>
      <x:c r="I115" s="24" t="str">
        <x:v>اختيار من متعدد</x:v>
      </x:c>
      <x:c r="J115" s="20" t="str">
        <x:v>قطع جسم 10 m كل ثانيتين بصورة منتظمة. أي وصف صحيح؟</x:v>
      </x:c>
      <x:c r="K115" s="20" t="str">
        <x:v>سرعته ثابتة</x:v>
      </x:c>
      <x:c r="L115" s="20" t="str">
        <x:v>يتسارع دائمًا</x:v>
      </x:c>
      <x:c r="M115" s="20" t="str">
        <x:v>ساكن</x:v>
      </x:c>
      <x:c r="N115" s="20" t="str">
        <x:v>سرعته تساوي صفرًا</x:v>
      </x:c>
      <x:c r="O115" s="20" t="str">
        <x:v>أ</x:v>
      </x:c>
      <x:c r="P115" s="20" t="str">
        <x:v>قطع مسافات متساوية في أزمنة متساوية يدل على سرعة ثابتة.</x:v>
      </x:c>
      <x:c r="Q115" s="24" t="str">
        <x:v>نصي</x:v>
      </x:c>
      <x:c r="R115" s="24"/>
      <x:c r="S115" s="24" t="str">
        <x:v>محاكي أصلي مستلهم من نمط نافس ومبني على ناتج تعلم رسمي</x:v>
      </x:c>
      <x:c r="T115" s="24" t="str">
        <x:v>https://media.etec.gov.sa/media/sszdnh2h/%D9%86%D9%88%D8%A7%D8%AA%D8%AC-%D8%A7%D9%84%D8%AA%D8%B9%D9%84%D9%85-2026.pdf</x:v>
      </x:c>
      <x:c r="U115" t="str">
        <x:v>هيئة تقويم التعليم والتدريب – نواتج التعلم (صياغة أصلية)</x:v>
      </x:c>
    </x:row>
    <x:row r="116" ht="54" customHeight="1">
      <x:c r="A116" s="24" t="str">
        <x:v>PHY015</x:v>
      </x:c>
      <x:c r="B116" s="24" t="str">
        <x:v>فيزياء</x:v>
      </x:c>
      <x:c r="C116" s="24" t="str">
        <x:v>العلوم الفيزيائية</x:v>
      </x:c>
      <x:c r="D116" s="24" t="str">
        <x:v>الحركة والقوى</x:v>
      </x:c>
      <x:c r="E116" s="24" t="str">
        <x:v>1-2-2-5-9</x:v>
      </x:c>
      <x:c r="F116" s="24" t="str">
        <x:v>حساب السرعة المتوسطة لمسارين</x:v>
      </x:c>
      <x:c r="G116" s="24" t="str">
        <x:v>تطبيق</x:v>
      </x:c>
      <x:c r="H116" s="24" t="str">
        <x:v>صعب</x:v>
      </x:c>
      <x:c r="I116" s="24" t="str">
        <x:v>اختيار من متعدد</x:v>
      </x:c>
      <x:c r="J116" s="20" t="str">
        <x:v>تحرك طالب 100 m في 20 s ثم 100 m أخرى في 30 s. ما سرعته المتوسطة للمسافة كلها؟</x:v>
      </x:c>
      <x:c r="K116" s="20" t="str">
        <x:v>2 m/s</x:v>
      </x:c>
      <x:c r="L116" s="20" t="str">
        <x:v>4 m/s</x:v>
      </x:c>
      <x:c r="M116" s="20" t="str">
        <x:v>5 m/s</x:v>
      </x:c>
      <x:c r="N116" s="20" t="str">
        <x:v>10 m/s</x:v>
      </x:c>
      <x:c r="O116" s="20" t="str">
        <x:v>ب</x:v>
      </x:c>
      <x:c r="P116" s="20" t="str">
        <x:v>المسافة الكلية 200 m والزمن الكلي 50 s؛ السرعة المتوسطة = 4 m/s.</x:v>
      </x:c>
      <x:c r="Q116" s="24" t="str">
        <x:v>نصي</x:v>
      </x:c>
      <x:c r="R116" s="24"/>
      <x:c r="S116" s="24" t="str">
        <x:v>محاكي أصلي مستلهم من نمط نافس ومبني على ناتج تعلم رسمي</x:v>
      </x:c>
      <x:c r="T116" s="24" t="str">
        <x:v>https://media.etec.gov.sa/media/sszdnh2h/%D9%86%D9%88%D8%A7%D8%AA%D8%AC-%D8%A7%D9%84%D8%AA%D8%B9%D9%84%D9%85-2026.pdf</x:v>
      </x:c>
      <x:c r="U116" t="str">
        <x:v>هيئة تقويم التعليم والتدريب – نواتج التعلم (صياغة أصلية)</x:v>
      </x:c>
    </x:row>
    <x:row r="117" ht="54" customHeight="1">
      <x:c r="A117" s="24" t="str">
        <x:v>PHY016</x:v>
      </x:c>
      <x:c r="B117" s="24" t="str">
        <x:v>فيزياء</x:v>
      </x:c>
      <x:c r="C117" s="24" t="str">
        <x:v>العلوم الفيزيائية</x:v>
      </x:c>
      <x:c r="D117" s="24" t="str">
        <x:v>الحركة والقوى</x:v>
      </x:c>
      <x:c r="E117" s="24" t="str">
        <x:v>1-2-2-5-9</x:v>
      </x:c>
      <x:c r="F117" s="24" t="str">
        <x:v>التمييز بين السرعة والسرعة المتجهة</x:v>
      </x:c>
      <x:c r="G117" s="24" t="str">
        <x:v>تطبيق</x:v>
      </x:c>
      <x:c r="H117" s="24" t="str">
        <x:v>متوسط</x:v>
      </x:c>
      <x:c r="I117" s="24" t="str">
        <x:v>اختيار من متعدد</x:v>
      </x:c>
      <x:c r="J117" s="20" t="str">
        <x:v>أي معلومة إضافية نحتاجها لتحويل مقدار السرعة إلى سرعة متجهة؟</x:v>
      </x:c>
      <x:c r="K117" s="20" t="str">
        <x:v>اتجاه الحركة</x:v>
      </x:c>
      <x:c r="L117" s="20" t="str">
        <x:v>لون الجسم</x:v>
      </x:c>
      <x:c r="M117" s="20" t="str">
        <x:v>درجة حرارته</x:v>
      </x:c>
      <x:c r="N117" s="20" t="str">
        <x:v>حجمه</x:v>
      </x:c>
      <x:c r="O117" s="20" t="str">
        <x:v>أ</x:v>
      </x:c>
      <x:c r="P117" s="20" t="str">
        <x:v>السرعة المتجهة تتضمن المقدار والاتجاه.</x:v>
      </x:c>
      <x:c r="Q117" s="24" t="str">
        <x:v>نصي</x:v>
      </x:c>
      <x:c r="R117" s="24"/>
      <x:c r="S117" s="24" t="str">
        <x:v>محاكي أصلي مستلهم من نمط نافس ومبني على ناتج تعلم رسمي</x:v>
      </x:c>
      <x:c r="T117" s="24" t="str">
        <x:v>https://media.etec.gov.sa/media/sszdnh2h/%D9%86%D9%88%D8%A7%D8%AA%D8%AC-%D8%A7%D9%84%D8%AA%D8%B9%D9%84%D9%85-2026.pdf</x:v>
      </x:c>
      <x:c r="U117" t="str">
        <x:v>هيئة تقويم التعليم والتدريب – نواتج التعلم (صياغة أصلية)</x:v>
      </x:c>
    </x:row>
    <x:row r="118" ht="54" customHeight="1">
      <x:c r="A118" s="24" t="str">
        <x:v>PHY017</x:v>
      </x:c>
      <x:c r="B118" s="24" t="str">
        <x:v>فيزياء</x:v>
      </x:c>
      <x:c r="C118" s="24" t="str">
        <x:v>العلوم الفيزيائية</x:v>
      </x:c>
      <x:c r="D118" s="24" t="str">
        <x:v>الحركة والقوى</x:v>
      </x:c>
      <x:c r="E118" s="24" t="str">
        <x:v>1-2-2-5-9</x:v>
      </x:c>
      <x:c r="F118" s="24" t="str">
        <x:v>القوة المركزية في الحركة الدائرية</x:v>
      </x:c>
      <x:c r="G118" s="24" t="str">
        <x:v>استدلال</x:v>
      </x:c>
      <x:c r="H118" s="24" t="str">
        <x:v>متوسط</x:v>
      </x:c>
      <x:c r="I118" s="24" t="str">
        <x:v>اختيار من متعدد</x:v>
      </x:c>
      <x:c r="J118" s="20" t="str">
        <x:v>تتحرك كرة مربوطة بخيط في مسار دائري. في أي اتجاه تؤثر القوة التي تحافظ على المسار الدائري؟</x:v>
      </x:c>
      <x:c r="K118" s="20" t="str">
        <x:v>نحو مركز الدائرة</x:v>
      </x:c>
      <x:c r="L118" s="20" t="str">
        <x:v>بعيدًا عن المركز دائمًا</x:v>
      </x:c>
      <x:c r="M118" s="20" t="str">
        <x:v>في اتجاه رأسي فقط</x:v>
      </x:c>
      <x:c r="N118" s="20" t="str">
        <x:v>لا توجد قوة</x:v>
      </x:c>
      <x:c r="O118" s="20" t="str">
        <x:v>أ</x:v>
      </x:c>
      <x:c r="P118" s="20" t="str">
        <x:v>القوة المركزية تتجه نحو مركز المسار الدائري.</x:v>
      </x:c>
      <x:c r="Q118" s="24" t="str">
        <x:v>نصي</x:v>
      </x:c>
      <x:c r="R118" s="24"/>
      <x:c r="S118" s="24" t="str">
        <x:v>محاكي أصلي مستلهم من نمط نافس ومبني على ناتج تعلم رسمي</x:v>
      </x:c>
      <x:c r="T118" s="24" t="str">
        <x:v>https://media.etec.gov.sa/media/sszdnh2h/%D9%86%D9%88%D8%A7%D8%AA%D8%AC-%D8%A7%D9%84%D8%AA%D8%B9%D9%84%D9%85-2026.pdf</x:v>
      </x:c>
      <x:c r="U118" t="str">
        <x:v>هيئة تقويم التعليم والتدريب – نواتج التعلم (صياغة أصلية)</x:v>
      </x:c>
    </x:row>
    <x:row r="119" ht="54" customHeight="1">
      <x:c r="A119" s="24" t="str">
        <x:v>PHY018</x:v>
      </x:c>
      <x:c r="B119" s="24" t="str">
        <x:v>فيزياء</x:v>
      </x:c>
      <x:c r="C119" s="24" t="str">
        <x:v>العلوم الفيزيائية</x:v>
      </x:c>
      <x:c r="D119" s="24" t="str">
        <x:v>الحركة والقوى</x:v>
      </x:c>
      <x:c r="E119" s="24" t="str">
        <x:v>1-2-2-5-9</x:v>
      </x:c>
      <x:c r="F119" s="24" t="str">
        <x:v>حساب التسارع</x:v>
      </x:c>
      <x:c r="G119" s="24" t="str">
        <x:v>تطبيق</x:v>
      </x:c>
      <x:c r="H119" s="24" t="str">
        <x:v>متوسط</x:v>
      </x:c>
      <x:c r="I119" s="24" t="str">
        <x:v>اختيار من متعدد</x:v>
      </x:c>
      <x:c r="J119" s="20" t="str">
        <x:v>تغيرت سرعة جسم من 5 m/s إلى 17 m/s خلال 6 s. ما متوسط تسارعه؟</x:v>
      </x:c>
      <x:c r="K119" s="20" t="str">
        <x:v>2 m/s²</x:v>
      </x:c>
      <x:c r="L119" s="20" t="str">
        <x:v>3 m/s²</x:v>
      </x:c>
      <x:c r="M119" s="20" t="str">
        <x:v>12 m/s²</x:v>
      </x:c>
      <x:c r="N119" s="20" t="str">
        <x:v>22 m/s²</x:v>
      </x:c>
      <x:c r="O119" s="20" t="str">
        <x:v>أ</x:v>
      </x:c>
      <x:c r="P119" s="20" t="str">
        <x:v>التسارع = (17-5) ÷ 6 = 2 m/s².</x:v>
      </x:c>
      <x:c r="Q119" s="24" t="str">
        <x:v>جدول</x:v>
      </x:c>
      <x:c r="R119" s="24" t="str">
        <x:v>جدول سرعة ابتدائية ونهائية وزمن للحركة</x:v>
      </x:c>
      <x:c r="S119" s="24" t="str">
        <x:v>محاكي أصلي مستلهم من نمط نافس ومبني على ناتج تعلم رسمي</x:v>
      </x:c>
      <x:c r="T119" s="24" t="str">
        <x:v>https://media.etec.gov.sa/media/sszdnh2h/%D9%86%D9%88%D8%A7%D8%AA%D8%AC-%D8%A7%D9%84%D8%AA%D8%B9%D9%84%D9%85-2026.pdf</x:v>
      </x:c>
      <x:c r="U119" t="str">
        <x:v>هيئة تقويم التعليم والتدريب – نواتج التعلم (صياغة أصلية)</x:v>
      </x:c>
    </x:row>
    <x:row r="120" ht="54" customHeight="1">
      <x:c r="A120" s="24" t="str">
        <x:v>PHY019</x:v>
      </x:c>
      <x:c r="B120" s="24" t="str">
        <x:v>فيزياء</x:v>
      </x:c>
      <x:c r="C120" s="24" t="str">
        <x:v>العلوم الفيزيائية</x:v>
      </x:c>
      <x:c r="D120" s="24" t="str">
        <x:v>الحركة والقوى</x:v>
      </x:c>
      <x:c r="E120" s="24" t="str">
        <x:v>1-2-2-5-9</x:v>
      </x:c>
      <x:c r="F120" s="24" t="str">
        <x:v>التسارع السالب</x:v>
      </x:c>
      <x:c r="G120" s="24" t="str">
        <x:v>تطبيق</x:v>
      </x:c>
      <x:c r="H120" s="24" t="str">
        <x:v>متوسط</x:v>
      </x:c>
      <x:c r="I120" s="24" t="str">
        <x:v>اختيار من متعدد</x:v>
      </x:c>
      <x:c r="J120" s="20" t="str">
        <x:v>انخفضت سرعة سيارة من 20 m/s إلى 8 m/s خلال 4 s. ما تسارعها؟</x:v>
      </x:c>
      <x:c r="K120" s="20" t="str">
        <x:v>+3 m/s²</x:v>
      </x:c>
      <x:c r="L120" s="20" t="str">
        <x:v>-3 m/s²</x:v>
      </x:c>
      <x:c r="M120" s="20" t="str">
        <x:v>+7 m/s²</x:v>
      </x:c>
      <x:c r="N120" s="20" t="str">
        <x:v>-7 m/s²</x:v>
      </x:c>
      <x:c r="O120" s="20" t="str">
        <x:v>ب</x:v>
      </x:c>
      <x:c r="P120" s="20" t="str">
        <x:v>التسارع = (8-20) ÷ 4 = -3 m/s².</x:v>
      </x:c>
      <x:c r="Q120" s="24" t="str">
        <x:v>نصي</x:v>
      </x:c>
      <x:c r="R120" s="24"/>
      <x:c r="S120" s="24" t="str">
        <x:v>محاكي أصلي مستلهم من نمط نافس ومبني على ناتج تعلم رسمي</x:v>
      </x:c>
      <x:c r="T120" s="24" t="str">
        <x:v>https://media.etec.gov.sa/media/sszdnh2h/%D9%86%D9%88%D8%A7%D8%AA%D8%AC-%D8%A7%D9%84%D8%AA%D8%B9%D9%84%D9%85-2026.pdf</x:v>
      </x:c>
      <x:c r="U120" t="str">
        <x:v>هيئة تقويم التعليم والتدريب – نواتج التعلم (صياغة أصلية)</x:v>
      </x:c>
    </x:row>
    <x:row r="121" ht="54" customHeight="1">
      <x:c r="A121" s="24" t="str">
        <x:v>PHY020</x:v>
      </x:c>
      <x:c r="B121" s="24" t="str">
        <x:v>فيزياء</x:v>
      </x:c>
      <x:c r="C121" s="24" t="str">
        <x:v>العلوم الفيزيائية</x:v>
      </x:c>
      <x:c r="D121" s="24" t="str">
        <x:v>الحركة والقوى</x:v>
      </x:c>
      <x:c r="E121" s="24" t="str">
        <x:v>1-2-2-5-9</x:v>
      </x:c>
      <x:c r="F121" s="24" t="str">
        <x:v>قراءة منحنى السرعة والزمن</x:v>
      </x:c>
      <x:c r="G121" s="24" t="str">
        <x:v>استدلال</x:v>
      </x:c>
      <x:c r="H121" s="24" t="str">
        <x:v>متوسط</x:v>
      </x:c>
      <x:c r="I121" s="24" t="str">
        <x:v>اختيار من متعدد</x:v>
      </x:c>
      <x:c r="J121" s="20" t="str">
        <x:v>يوضح منحنى السرعة-الزمن خطًا أفقيًا عند 12 m/s لمدة 5 s. ماذا يعني؟</x:v>
      </x:c>
      <x:c r="K121" s="20" t="str">
        <x:v>الجسم يتحرك بسرعة ثابتة</x:v>
      </x:c>
      <x:c r="L121" s="20" t="str">
        <x:v>الجسم يتسارع موجبًا</x:v>
      </x:c>
      <x:c r="M121" s="20" t="str">
        <x:v>الجسم ساكن</x:v>
      </x:c>
      <x:c r="N121" s="20" t="str">
        <x:v>السرعة تزداد كل ثانية</x:v>
      </x:c>
      <x:c r="O121" s="20" t="str">
        <x:v>أ</x:v>
      </x:c>
      <x:c r="P121" s="20" t="str">
        <x:v>الخط الأفقي في منحنى السرعة-الزمن يعني أن السرعة ثابتة والتسارع صفر.</x:v>
      </x:c>
      <x:c r="Q121" s="24" t="str">
        <x:v>رسم بياني</x:v>
      </x:c>
      <x:c r="R121" s="24" t="str">
        <x:v>منحنى سرعة-زمن أفقي عند 12 m/s من 0 إلى 5 s</x:v>
      </x:c>
      <x:c r="S121" s="24" t="str">
        <x:v>محاكي أصلي مستلهم من نمط نافس ومبني على ناتج تعلم رسمي</x:v>
      </x:c>
      <x:c r="T121" s="24" t="str">
        <x:v>https://media.etec.gov.sa/media/sszdnh2h/%D9%86%D9%88%D8%A7%D8%AA%D8%AC-%D8%A7%D9%84%D8%AA%D8%B9%D9%84%D9%85-2026.pdf</x:v>
      </x:c>
      <x:c r="U121" t="str">
        <x:v>هيئة تقويم التعليم والتدريب – نواتج التعلم (صياغة أصلية)</x:v>
      </x:c>
    </x:row>
    <x:row r="122" ht="54" customHeight="1">
      <x:c r="A122" s="24" t="str">
        <x:v>PHY021</x:v>
      </x:c>
      <x:c r="B122" s="24" t="str">
        <x:v>فيزياء</x:v>
      </x:c>
      <x:c r="C122" s="24" t="str">
        <x:v>العلوم الفيزيائية</x:v>
      </x:c>
      <x:c r="D122" s="24" t="str">
        <x:v>الحركة والقوى</x:v>
      </x:c>
      <x:c r="E122" s="24" t="str">
        <x:v>1-2-2-5-9</x:v>
      </x:c>
      <x:c r="F122" s="24" t="str">
        <x:v>استنتاج التسارع من جدول</x:v>
      </x:c>
      <x:c r="G122" s="24" t="str">
        <x:v>استدلال</x:v>
      </x:c>
      <x:c r="H122" s="24" t="str">
        <x:v>صعب</x:v>
      </x:c>
      <x:c r="I122" s="24" t="str">
        <x:v>اختيار من متعدد</x:v>
      </x:c>
      <x:c r="J122" s="20" t="str">
        <x:v>يوضح جدول: الزمن 0،1،2،3 s والسرعة 2،5،8،11 m/s. ما مقدار التسارع؟</x:v>
      </x:c>
      <x:c r="K122" s="20" t="str">
        <x:v>1 m/s²</x:v>
      </x:c>
      <x:c r="L122" s="20" t="str">
        <x:v>2 m/s²</x:v>
      </x:c>
      <x:c r="M122" s="20" t="str">
        <x:v>3 m/s²</x:v>
      </x:c>
      <x:c r="N122" s="20" t="str">
        <x:v>9 m/s²</x:v>
      </x:c>
      <x:c r="O122" s="20" t="str">
        <x:v>ج</x:v>
      </x:c>
      <x:c r="P122" s="20" t="str">
        <x:v>السرعة تزداد 3 m/s كل ثانية؛ إذن التسارع 3 m/s².</x:v>
      </x:c>
      <x:c r="Q122" s="24" t="str">
        <x:v>جدول</x:v>
      </x:c>
      <x:c r="R122" s="24" t="str">
        <x:v>جدول زمن وسرعة بالقيم الواردة</x:v>
      </x:c>
      <x:c r="S122" s="24" t="str">
        <x:v>محاكي أصلي مستلهم من نمط نافس ومبني على ناتج تعلم رسمي</x:v>
      </x:c>
      <x:c r="T122" s="24" t="str">
        <x:v>https://media.etec.gov.sa/media/sszdnh2h/%D9%86%D9%88%D8%A7%D8%AA%D8%AC-%D8%A7%D9%84%D8%AA%D8%B9%D9%84%D9%85-2026.pdf</x:v>
      </x:c>
      <x:c r="U122" t="str">
        <x:v>هيئة تقويم التعليم والتدريب – نواتج التعلم (صياغة أصلية)</x:v>
      </x:c>
    </x:row>
    <x:row r="123" ht="54" customHeight="1">
      <x:c r="A123" s="24" t="str">
        <x:v>PHY022</x:v>
      </x:c>
      <x:c r="B123" s="24" t="str">
        <x:v>فيزياء</x:v>
      </x:c>
      <x:c r="C123" s="24" t="str">
        <x:v>العلوم الفيزيائية</x:v>
      </x:c>
      <x:c r="D123" s="24" t="str">
        <x:v>الحركة والقوى</x:v>
      </x:c>
      <x:c r="E123" s="24" t="str">
        <x:v>1-2-2-5-9</x:v>
      </x:c>
      <x:c r="F123" s="24" t="str">
        <x:v>التسارع وتغير الاتجاه</x:v>
      </x:c>
      <x:c r="G123" s="24" t="str">
        <x:v>استدلال</x:v>
      </x:c>
      <x:c r="H123" s="24" t="str">
        <x:v>متوسط</x:v>
      </x:c>
      <x:c r="I123" s="24" t="str">
        <x:v>اختيار من متعدد</x:v>
      </x:c>
      <x:c r="J123" s="20" t="str">
        <x:v>جسم يتحرك بسرعة ثابتة المقدار في مسار دائري. هل يتسارع؟</x:v>
      </x:c>
      <x:c r="K123" s="20" t="str">
        <x:v>نعم، لأن اتجاه السرعة يتغير</x:v>
      </x:c>
      <x:c r="L123" s="20" t="str">
        <x:v>لا، لأن مقدار السرعة ثابت</x:v>
      </x:c>
      <x:c r="M123" s="20" t="str">
        <x:v>لا، لأن كتلته ثابتة</x:v>
      </x:c>
      <x:c r="N123" s="20" t="str">
        <x:v>نعم، لأن حرارته ترتفع حتمًا</x:v>
      </x:c>
      <x:c r="O123" s="20" t="str">
        <x:v>أ</x:v>
      </x:c>
      <x:c r="P123" s="20" t="str">
        <x:v>التسارع يحدث عند تغير مقدار السرعة أو اتجاهها.</x:v>
      </x:c>
      <x:c r="Q123" s="24" t="str">
        <x:v>نصي</x:v>
      </x:c>
      <x:c r="R123" s="24"/>
      <x:c r="S123" s="24" t="str">
        <x:v>محاكي أصلي مستلهم من نمط نافس ومبني على ناتج تعلم رسمي</x:v>
      </x:c>
      <x:c r="T123" s="24" t="str">
        <x:v>https://media.etec.gov.sa/media/sszdnh2h/%D9%86%D9%88%D8%A7%D8%AA%D8%AC-%D8%A7%D9%84%D8%AA%D8%B9%D9%84%D9%85-2026.pdf</x:v>
      </x:c>
      <x:c r="U123" t="str">
        <x:v>هيئة تقويم التعليم والتدريب – نواتج التعلم (صياغة أصلية)</x:v>
      </x:c>
    </x:row>
    <x:row r="124" ht="54" customHeight="1">
      <x:c r="A124" s="24" t="str">
        <x:v>PHY023</x:v>
      </x:c>
      <x:c r="B124" s="24" t="str">
        <x:v>فيزياء</x:v>
      </x:c>
      <x:c r="C124" s="24" t="str">
        <x:v>العلوم الفيزيائية</x:v>
      </x:c>
      <x:c r="D124" s="24" t="str">
        <x:v>الحركة والقوى</x:v>
      </x:c>
      <x:c r="E124" s="24" t="str">
        <x:v>2-2-2-5-9</x:v>
      </x:c>
      <x:c r="F124" s="24" t="str">
        <x:v>العوامل المؤثرة في الزخم</x:v>
      </x:c>
      <x:c r="G124" s="24" t="str">
        <x:v>معرفة</x:v>
      </x:c>
      <x:c r="H124" s="24" t="str">
        <x:v>سهل</x:v>
      </x:c>
      <x:c r="I124" s="24" t="str">
        <x:v>اختيار من متعدد</x:v>
      </x:c>
      <x:c r="J124" s="20" t="str">
        <x:v>يعتمد زخم جسم على:</x:v>
      </x:c>
      <x:c r="K124" s="20" t="str">
        <x:v>كتلته وسرعته</x:v>
      </x:c>
      <x:c r="L124" s="20" t="str">
        <x:v>درجة حرارته ولونه</x:v>
      </x:c>
      <x:c r="M124" s="20" t="str">
        <x:v>حجمه فقط</x:v>
      </x:c>
      <x:c r="N124" s="20" t="str">
        <x:v>زمن الحركة فقط</x:v>
      </x:c>
      <x:c r="O124" s="20" t="str">
        <x:v>أ</x:v>
      </x:c>
      <x:c r="P124" s="20" t="str">
        <x:v>الزخم = الكتلة × السرعة.</x:v>
      </x:c>
      <x:c r="Q124" s="24" t="str">
        <x:v>نصي</x:v>
      </x:c>
      <x:c r="R124" s="24"/>
      <x:c r="S124" s="24" t="str">
        <x:v>محاكي أصلي مستلهم من نمط نافس ومبني على ناتج تعلم رسمي</x:v>
      </x:c>
      <x:c r="T124" s="24" t="str">
        <x:v>https://media.etec.gov.sa/media/sszdnh2h/%D9%86%D9%88%D8%A7%D8%AA%D8%AC-%D8%A7%D9%84%D8%AA%D8%B9%D9%84%D9%85-2026.pdf</x:v>
      </x:c>
      <x:c r="U124" t="str">
        <x:v>هيئة تقويم التعليم والتدريب – نواتج التعلم (صياغة أصلية)</x:v>
      </x:c>
    </x:row>
    <x:row r="125" ht="54" customHeight="1">
      <x:c r="A125" s="24" t="str">
        <x:v>PHY024</x:v>
      </x:c>
      <x:c r="B125" s="24" t="str">
        <x:v>فيزياء</x:v>
      </x:c>
      <x:c r="C125" s="24" t="str">
        <x:v>العلوم الفيزيائية</x:v>
      </x:c>
      <x:c r="D125" s="24" t="str">
        <x:v>الحركة والقوى</x:v>
      </x:c>
      <x:c r="E125" s="24" t="str">
        <x:v>2-2-2-5-9</x:v>
      </x:c>
      <x:c r="F125" s="24" t="str">
        <x:v>حساب الزخم</x:v>
      </x:c>
      <x:c r="G125" s="24" t="str">
        <x:v>تطبيق</x:v>
      </x:c>
      <x:c r="H125" s="24" t="str">
        <x:v>متوسط</x:v>
      </x:c>
      <x:c r="I125" s="24" t="str">
        <x:v>اختيار من متعدد</x:v>
      </x:c>
      <x:c r="J125" s="20" t="str">
        <x:v>شاحنة كتلتها 1000 kg تتحرك بسرعة 5 m/s. ما زخمها؟</x:v>
      </x:c>
      <x:c r="K125" s="20" t="str">
        <x:v>200 kg·m/s</x:v>
      </x:c>
      <x:c r="L125" s="20" t="str">
        <x:v>1005 kg·m/s</x:v>
      </x:c>
      <x:c r="M125" s="20" t="str">
        <x:v>5000 kg·m/s</x:v>
      </x:c>
      <x:c r="N125" s="20" t="str">
        <x:v>50000 kg·m/s</x:v>
      </x:c>
      <x:c r="O125" s="20" t="str">
        <x:v>ج</x:v>
      </x:c>
      <x:c r="P125" s="20" t="str">
        <x:v>الزخم = 1000 × 5 = 5000 kg·m/s.</x:v>
      </x:c>
      <x:c r="Q125" s="24" t="str">
        <x:v>نصي</x:v>
      </x:c>
      <x:c r="R125" s="24"/>
      <x:c r="S125" s="24" t="str">
        <x:v>محاكي أصلي مستلهم من نمط نافس ومبني على ناتج تعلم رسمي</x:v>
      </x:c>
      <x:c r="T125" s="24" t="str">
        <x:v>https://media.etec.gov.sa/media/sszdnh2h/%D9%86%D9%88%D8%A7%D8%AA%D8%AC-%D8%A7%D9%84%D8%AA%D8%B9%D9%84%D9%85-2026.pdf</x:v>
      </x:c>
      <x:c r="U125" t="str">
        <x:v>هيئة تقويم التعليم والتدريب – نواتج التعلم (صياغة أصلية)</x:v>
      </x:c>
    </x:row>
    <x:row r="126" ht="54" customHeight="1">
      <x:c r="A126" s="24" t="str">
        <x:v>PHY025</x:v>
      </x:c>
      <x:c r="B126" s="24" t="str">
        <x:v>فيزياء</x:v>
      </x:c>
      <x:c r="C126" s="24" t="str">
        <x:v>العلوم الفيزيائية</x:v>
      </x:c>
      <x:c r="D126" s="24" t="str">
        <x:v>الحركة والقوى</x:v>
      </x:c>
      <x:c r="E126" s="24" t="str">
        <x:v>2-2-2-5-9</x:v>
      </x:c>
      <x:c r="F126" s="24" t="str">
        <x:v>مقارنة الزخم</x:v>
      </x:c>
      <x:c r="G126" s="24" t="str">
        <x:v>استدلال</x:v>
      </x:c>
      <x:c r="H126" s="24" t="str">
        <x:v>متوسط</x:v>
      </x:c>
      <x:c r="I126" s="24" t="str">
        <x:v>اختيار من متعدد</x:v>
      </x:c>
      <x:c r="J126" s="20" t="str">
        <x:v>سيارة كتلتها 800 kg بسرعة 10 m/s وشاحنة كتلتها 1600 kg بسرعة 5 m/s. أيهما زخمها أكبر؟</x:v>
      </x:c>
      <x:c r="K126" s="20" t="str">
        <x:v>السيارة</x:v>
      </x:c>
      <x:c r="L126" s="20" t="str">
        <x:v>الشاحنة</x:v>
      </x:c>
      <x:c r="M126" s="20" t="str">
        <x:v>متساويان</x:v>
      </x:c>
      <x:c r="N126" s="20" t="str">
        <x:v>لا يمكن الحساب</x:v>
      </x:c>
      <x:c r="O126" s="20" t="str">
        <x:v>ج</x:v>
      </x:c>
      <x:c r="P126" s="20" t="str">
        <x:v>زخم كل منهما = 8000 kg·m/s.</x:v>
      </x:c>
      <x:c r="Q126" s="24" t="str">
        <x:v>نصي</x:v>
      </x:c>
      <x:c r="R126" s="24"/>
      <x:c r="S126" s="24" t="str">
        <x:v>محاكي أصلي مستلهم من نمط نافس ومبني على ناتج تعلم رسمي</x:v>
      </x:c>
      <x:c r="T126" s="24" t="str">
        <x:v>https://media.etec.gov.sa/media/sszdnh2h/%D9%86%D9%88%D8%A7%D8%AA%D8%AC-%D8%A7%D9%84%D8%AA%D8%B9%D9%84%D9%85-2026.pdf</x:v>
      </x:c>
      <x:c r="U126" t="str">
        <x:v>هيئة تقويم التعليم والتدريب – نواتج التعلم (صياغة أصلية)</x:v>
      </x:c>
    </x:row>
    <x:row r="127" ht="54" customHeight="1">
      <x:c r="A127" s="24" t="str">
        <x:v>PHY026</x:v>
      </x:c>
      <x:c r="B127" s="24" t="str">
        <x:v>فيزياء</x:v>
      </x:c>
      <x:c r="C127" s="24" t="str">
        <x:v>العلوم الفيزيائية</x:v>
      </x:c>
      <x:c r="D127" s="24" t="str">
        <x:v>الحركة والقوى</x:v>
      </x:c>
      <x:c r="E127" s="24" t="str">
        <x:v>2-2-2-5-9</x:v>
      </x:c>
      <x:c r="F127" s="24" t="str">
        <x:v>حفظ الزخم في التصادم</x:v>
      </x:c>
      <x:c r="G127" s="24" t="str">
        <x:v>استدلال</x:v>
      </x:c>
      <x:c r="H127" s="24" t="str">
        <x:v>صعب</x:v>
      </x:c>
      <x:c r="I127" s="24" t="str">
        <x:v>اختيار من متعدد</x:v>
      </x:c>
      <x:c r="J127" s="20" t="str">
        <x:v>عربتان متماثلتان، إحداهما تتحرك بسرعة 4 m/s والأخرى ساكنة، التحمتا بعد التصادم. ما السرعة المشتركة تقريبًا إذا أهملت القوى الخارجية؟</x:v>
      </x:c>
      <x:c r="K127" s="20" t="str">
        <x:v>1 m/s</x:v>
      </x:c>
      <x:c r="L127" s="20" t="str">
        <x:v>2 m/s</x:v>
      </x:c>
      <x:c r="M127" s="20" t="str">
        <x:v>4 m/s</x:v>
      </x:c>
      <x:c r="N127" s="20" t="str">
        <x:v>8 m/s</x:v>
      </x:c>
      <x:c r="O127" s="20" t="str">
        <x:v>ب</x:v>
      </x:c>
      <x:c r="P127" s="20" t="str">
        <x:v>الزخم قبل التصادم m×4، وبعده 2m×v؛ إذن v=2 m/s.</x:v>
      </x:c>
      <x:c r="Q127" s="24" t="str">
        <x:v>نصي</x:v>
      </x:c>
      <x:c r="R127" s="24"/>
      <x:c r="S127" s="24" t="str">
        <x:v>محاكي أصلي مستلهم من نمط نافس ومبني على ناتج تعلم رسمي</x:v>
      </x:c>
      <x:c r="T127" s="24" t="str">
        <x:v>https://media.etec.gov.sa/media/sszdnh2h/%D9%86%D9%88%D8%A7%D8%AA%D8%AC-%D8%A7%D9%84%D8%AA%D8%B9%D9%84%D9%85-2026.pdf</x:v>
      </x:c>
      <x:c r="U127" t="str">
        <x:v>هيئة تقويم التعليم والتدريب – نواتج التعلم (صياغة أصلية)</x:v>
      </x:c>
    </x:row>
    <x:row r="128" ht="54" customHeight="1">
      <x:c r="A128" s="24" t="str">
        <x:v>PHY027</x:v>
      </x:c>
      <x:c r="B128" s="24" t="str">
        <x:v>فيزياء</x:v>
      </x:c>
      <x:c r="C128" s="24" t="str">
        <x:v>العلوم الفيزيائية</x:v>
      </x:c>
      <x:c r="D128" s="24" t="str">
        <x:v>الحركة والقوى</x:v>
      </x:c>
      <x:c r="E128" s="24" t="str">
        <x:v>2-2-2-5-9</x:v>
      </x:c>
      <x:c r="F128" s="24" t="str">
        <x:v>تفسير الارتداد وحفظ الزخم</x:v>
      </x:c>
      <x:c r="G128" s="24" t="str">
        <x:v>استدلال</x:v>
      </x:c>
      <x:c r="H128" s="24" t="str">
        <x:v>متوسط</x:v>
      </x:c>
      <x:c r="I128" s="24" t="str">
        <x:v>اختيار من متعدد</x:v>
      </x:c>
      <x:c r="J128" s="20" t="str">
        <x:v>عند إطلاق جسم إلى الأمام من عربة حرة الحركة، تتحرك العربة للخلف. ما المبدأ الذي يفسر ذلك؟</x:v>
      </x:c>
      <x:c r="K128" s="20" t="str">
        <x:v>حفظ الزخم</x:v>
      </x:c>
      <x:c r="L128" s="20" t="str">
        <x:v>الطفو</x:v>
      </x:c>
      <x:c r="M128" s="20" t="str">
        <x:v>الانكسار</x:v>
      </x:c>
      <x:c r="N128" s="20" t="str">
        <x:v>التوصيل الحراري</x:v>
      </x:c>
      <x:c r="O128" s="20" t="str">
        <x:v>أ</x:v>
      </x:c>
      <x:c r="P128" s="20" t="str">
        <x:v>يبقى الزخم الكلي للنظام محفوظًا تقريبًا إذا كانت القوى الخارجية مهملة.</x:v>
      </x:c>
      <x:c r="Q128" s="24" t="str">
        <x:v>نصي</x:v>
      </x:c>
      <x:c r="R128" s="24"/>
      <x:c r="S128" s="24" t="str">
        <x:v>محاكي أصلي مستلهم من نمط نافس ومبني على ناتج تعلم رسمي</x:v>
      </x:c>
      <x:c r="T128" s="24" t="str">
        <x:v>https://media.etec.gov.sa/media/sszdnh2h/%D9%86%D9%88%D8%A7%D8%AA%D8%AC-%D8%A7%D9%84%D8%AA%D8%B9%D9%84%D9%85-2026.pdf</x:v>
      </x:c>
      <x:c r="U128" t="str">
        <x:v>هيئة تقويم التعليم والتدريب – نواتج التعلم (صياغة أصلية)</x:v>
      </x:c>
    </x:row>
    <x:row r="129" ht="54" customHeight="1">
      <x:c r="A129" s="24" t="str">
        <x:v>PHY028</x:v>
      </x:c>
      <x:c r="B129" s="24" t="str">
        <x:v>فيزياء</x:v>
      </x:c>
      <x:c r="C129" s="24" t="str">
        <x:v>العلوم الفيزيائية</x:v>
      </x:c>
      <x:c r="D129" s="24" t="str">
        <x:v>الحركة والقوى</x:v>
      </x:c>
      <x:c r="E129" s="24" t="str">
        <x:v>3-2-2-5-9</x:v>
      </x:c>
      <x:c r="F129" s="24" t="str">
        <x:v>تمييز الاحتكاك السكوني</x:v>
      </x:c>
      <x:c r="G129" s="24" t="str">
        <x:v>تطبيق</x:v>
      </x:c>
      <x:c r="H129" s="24" t="str">
        <x:v>متوسط</x:v>
      </x:c>
      <x:c r="I129" s="24" t="str">
        <x:v>اختيار من متعدد</x:v>
      </x:c>
      <x:c r="J129" s="20" t="str">
        <x:v>دفع شخص صندوقًا بقوة صغيرة ولم يتحرك. أي نوع احتكاك قاوم بدء الحركة؟</x:v>
      </x:c>
      <x:c r="K129" s="20" t="str">
        <x:v>الاحتكاك السكوني</x:v>
      </x:c>
      <x:c r="L129" s="20" t="str">
        <x:v>احتكاك التدحرج</x:v>
      </x:c>
      <x:c r="M129" s="20" t="str">
        <x:v>الاحتكاك المائع فقط</x:v>
      </x:c>
      <x:c r="N129" s="20" t="str">
        <x:v>لا يوجد احتكاك</x:v>
      </x:c>
      <x:c r="O129" s="20" t="str">
        <x:v>أ</x:v>
      </x:c>
      <x:c r="P129" s="20" t="str">
        <x:v>الاحتكاك السكوني يعارض بدء انزلاق الجسم.</x:v>
      </x:c>
      <x:c r="Q129" s="24" t="str">
        <x:v>نصي</x:v>
      </x:c>
      <x:c r="R129" s="24"/>
      <x:c r="S129" s="24" t="str">
        <x:v>محاكي أصلي مستلهم من نمط نافس ومبني على ناتج تعلم رسمي</x:v>
      </x:c>
      <x:c r="T129" s="24" t="str">
        <x:v>https://media.etec.gov.sa/media/sszdnh2h/%D9%86%D9%88%D8%A7%D8%AA%D8%AC-%D8%A7%D9%84%D8%AA%D8%B9%D9%84%D9%85-2026.pdf</x:v>
      </x:c>
      <x:c r="U129" t="str">
        <x:v>هيئة تقويم التعليم والتدريب – نواتج التعلم (صياغة أصلية)</x:v>
      </x:c>
    </x:row>
    <x:row r="130" ht="54" customHeight="1">
      <x:c r="A130" s="24" t="str">
        <x:v>PHY029</x:v>
      </x:c>
      <x:c r="B130" s="24" t="str">
        <x:v>فيزياء</x:v>
      </x:c>
      <x:c r="C130" s="24" t="str">
        <x:v>العلوم الفيزيائية</x:v>
      </x:c>
      <x:c r="D130" s="24" t="str">
        <x:v>الحركة والقوى</x:v>
      </x:c>
      <x:c r="E130" s="24" t="str">
        <x:v>3-2-2-5-9</x:v>
      </x:c>
      <x:c r="F130" s="24" t="str">
        <x:v>العوامل المؤثرة في الاحتكاك</x:v>
      </x:c>
      <x:c r="G130" s="24" t="str">
        <x:v>استدلال</x:v>
      </x:c>
      <x:c r="H130" s="24" t="str">
        <x:v>متوسط</x:v>
      </x:c>
      <x:c r="I130" s="24" t="str">
        <x:v>اختيار من متعدد</x:v>
      </x:c>
      <x:c r="J130" s="20" t="str">
        <x:v>أي تغيير يزيد الاحتكاك غالبًا بين سطحين صلبين؟</x:v>
      </x:c>
      <x:c r="K130" s="20" t="str">
        <x:v>زيادة خشونة السطحين</x:v>
      </x:c>
      <x:c r="L130" s="20" t="str">
        <x:v>تزييت السطحين</x:v>
      </x:c>
      <x:c r="M130" s="20" t="str">
        <x:v>استخدام عجلات</x:v>
      </x:c>
      <x:c r="N130" s="20" t="str">
        <x:v>تقليل قوة التلامس</x:v>
      </x:c>
      <x:c r="O130" s="20" t="str">
        <x:v>أ</x:v>
      </x:c>
      <x:c r="P130" s="20" t="str">
        <x:v>زيادة الخشونة تزيد التشابك بين نتوءات السطحين وترفع الاحتكاك غالبًا.</x:v>
      </x:c>
      <x:c r="Q130" s="24" t="str">
        <x:v>نصي</x:v>
      </x:c>
      <x:c r="R130" s="24"/>
      <x:c r="S130" s="24" t="str">
        <x:v>محاكي أصلي مستلهم من نمط نافس ومبني على ناتج تعلم رسمي</x:v>
      </x:c>
      <x:c r="T130" s="24" t="str">
        <x:v>https://media.etec.gov.sa/media/sszdnh2h/%D9%86%D9%88%D8%A7%D8%AA%D8%AC-%D8%A7%D9%84%D8%AA%D8%B9%D9%84%D9%85-2026.pdf</x:v>
      </x:c>
      <x:c r="U130" t="str">
        <x:v>هيئة تقويم التعليم والتدريب – نواتج التعلم (صياغة أصلية)</x:v>
      </x:c>
    </x:row>
    <x:row r="131" ht="54" customHeight="1">
      <x:c r="A131" s="24" t="str">
        <x:v>PHY030</x:v>
      </x:c>
      <x:c r="B131" s="24" t="str">
        <x:v>فيزياء</x:v>
      </x:c>
      <x:c r="C131" s="24" t="str">
        <x:v>العلوم الفيزيائية</x:v>
      </x:c>
      <x:c r="D131" s="24" t="str">
        <x:v>الحركة والقوى</x:v>
      </x:c>
      <x:c r="E131" s="24" t="str">
        <x:v>4-2-2-5-9</x:v>
      </x:c>
      <x:c r="F131" s="24" t="str">
        <x:v>القصور الذاتي</x:v>
      </x:c>
      <x:c r="G131" s="24" t="str">
        <x:v>استدلال</x:v>
      </x:c>
      <x:c r="H131" s="24" t="str">
        <x:v>متوسط</x:v>
      </x:c>
      <x:c r="I131" s="24" t="str">
        <x:v>اختيار من متعدد</x:v>
      </x:c>
      <x:c r="J131" s="20" t="str">
        <x:v>أي جسم يمتلك قصورًا ذاتيًا أكبر إذا كان الجسمان يتحركان بالسرعة نفسها؟</x:v>
      </x:c>
      <x:c r="K131" s="20" t="str">
        <x:v>الجسم الأكبر كتلة</x:v>
      </x:c>
      <x:c r="L131" s="20" t="str">
        <x:v>الجسم الأقل كتلة دائمًا</x:v>
      </x:c>
      <x:c r="M131" s="20" t="str">
        <x:v>الجسم الأعلى حرارة</x:v>
      </x:c>
      <x:c r="N131" s="20" t="str">
        <x:v>القصور لا يعتمد على الكتلة</x:v>
      </x:c>
      <x:c r="O131" s="20" t="str">
        <x:v>أ</x:v>
      </x:c>
      <x:c r="P131" s="20" t="str">
        <x:v>كلما زادت الكتلة زادت مقاومة الجسم لتغيير حالته الحركية.</x:v>
      </x:c>
      <x:c r="Q131" s="24" t="str">
        <x:v>نصي</x:v>
      </x:c>
      <x:c r="R131" s="24"/>
      <x:c r="S131" s="24" t="str">
        <x:v>محاكي أصلي مستلهم من نمط نافس ومبني على ناتج تعلم رسمي</x:v>
      </x:c>
      <x:c r="T131" s="24" t="str">
        <x:v>https://media.etec.gov.sa/media/sszdnh2h/%D9%86%D9%88%D8%A7%D8%AA%D8%AC-%D8%A7%D9%84%D8%AA%D8%B9%D9%84%D9%85-2026.pdf</x:v>
      </x:c>
      <x:c r="U131" t="str">
        <x:v>هيئة تقويم التعليم والتدريب – نواتج التعلم (صياغة أصلية)</x:v>
      </x:c>
    </x:row>
    <x:row r="132" ht="54" customHeight="1">
      <x:c r="A132" s="24" t="str">
        <x:v>PHY031</x:v>
      </x:c>
      <x:c r="B132" s="24" t="str">
        <x:v>فيزياء</x:v>
      </x:c>
      <x:c r="C132" s="24" t="str">
        <x:v>العلوم الفيزيائية</x:v>
      </x:c>
      <x:c r="D132" s="24" t="str">
        <x:v>الحركة والقوى</x:v>
      </x:c>
      <x:c r="E132" s="24" t="str">
        <x:v>5-2-2-5-9</x:v>
      </x:c>
      <x:c r="F132" s="24" t="str">
        <x:v>حساب القوة من قانون نيوتن الثاني</x:v>
      </x:c>
      <x:c r="G132" s="24" t="str">
        <x:v>تطبيق</x:v>
      </x:c>
      <x:c r="H132" s="24" t="str">
        <x:v>متوسط</x:v>
      </x:c>
      <x:c r="I132" s="24" t="str">
        <x:v>اختيار من متعدد</x:v>
      </x:c>
      <x:c r="J132" s="20" t="str">
        <x:v>كتلة جسم 3 kg وتسارعه 4 m/s². ما القوة المحصلة؟</x:v>
      </x:c>
      <x:c r="K132" s="20" t="str">
        <x:v>0.75 N</x:v>
      </x:c>
      <x:c r="L132" s="20" t="str">
        <x:v>7 N</x:v>
      </x:c>
      <x:c r="M132" s="20" t="str">
        <x:v>12 N</x:v>
      </x:c>
      <x:c r="N132" s="20" t="str">
        <x:v>24 N</x:v>
      </x:c>
      <x:c r="O132" s="20" t="str">
        <x:v>ج</x:v>
      </x:c>
      <x:c r="P132" s="20" t="str">
        <x:v>F = m a = 3 × 4 = 12 N.</x:v>
      </x:c>
      <x:c r="Q132" s="24" t="str">
        <x:v>نصي</x:v>
      </x:c>
      <x:c r="R132" s="24"/>
      <x:c r="S132" s="24" t="str">
        <x:v>محاكي أصلي مستلهم من نمط نافس ومبني على ناتج تعلم رسمي</x:v>
      </x:c>
      <x:c r="T132" s="24" t="str">
        <x:v>https://media.etec.gov.sa/media/sszdnh2h/%D9%86%D9%88%D8%A7%D8%AA%D8%AC-%D8%A7%D9%84%D8%AA%D8%B9%D9%84%D9%85-2026.pdf</x:v>
      </x:c>
      <x:c r="U132" t="str">
        <x:v>هيئة تقويم التعليم والتدريب – نواتج التعلم (صياغة أصلية)</x:v>
      </x:c>
    </x:row>
    <x:row r="133" ht="54" customHeight="1">
      <x:c r="A133" s="24" t="str">
        <x:v>PHY032</x:v>
      </x:c>
      <x:c r="B133" s="24" t="str">
        <x:v>فيزياء</x:v>
      </x:c>
      <x:c r="C133" s="24" t="str">
        <x:v>العلوم الفيزيائية</x:v>
      </x:c>
      <x:c r="D133" s="24" t="str">
        <x:v>الحركة والقوى</x:v>
      </x:c>
      <x:c r="E133" s="24" t="str">
        <x:v>5-2-2-5-9</x:v>
      </x:c>
      <x:c r="F133" s="24" t="str">
        <x:v>العلاقة بين الكتلة والتسارع</x:v>
      </x:c>
      <x:c r="G133" s="24" t="str">
        <x:v>استدلال</x:v>
      </x:c>
      <x:c r="H133" s="24" t="str">
        <x:v>متوسط</x:v>
      </x:c>
      <x:c r="I133" s="24" t="str">
        <x:v>اختيار من متعدد</x:v>
      </x:c>
      <x:c r="J133" s="20" t="str">
        <x:v>إذا أثرت قوة ثابتة في جسم ثم تضاعفت كتلته، ماذا يحدث لتسارعه تقريبًا؟</x:v>
      </x:c>
      <x:c r="K133" s="20" t="str">
        <x:v>يتضاعف</x:v>
      </x:c>
      <x:c r="L133" s="20" t="str">
        <x:v>ينخفض إلى النصف</x:v>
      </x:c>
      <x:c r="M133" s="20" t="str">
        <x:v>يبقى كما هو</x:v>
      </x:c>
      <x:c r="N133" s="20" t="str">
        <x:v>يصبح أربعة أمثال</x:v>
      </x:c>
      <x:c r="O133" s="20" t="str">
        <x:v>ب</x:v>
      </x:c>
      <x:c r="P133" s="20" t="str">
        <x:v>عند ثبات القوة يكون التسارع عكسيًا مع الكتلة.</x:v>
      </x:c>
      <x:c r="Q133" s="24" t="str">
        <x:v>نصي</x:v>
      </x:c>
      <x:c r="R133" s="24"/>
      <x:c r="S133" s="24" t="str">
        <x:v>محاكي أصلي مستلهم من نمط نافس ومبني على ناتج تعلم رسمي</x:v>
      </x:c>
      <x:c r="T133" s="24" t="str">
        <x:v>https://media.etec.gov.sa/media/sszdnh2h/%D9%86%D9%88%D8%A7%D8%AA%D8%AC-%D8%A7%D9%84%D8%AA%D8%B9%D9%84%D9%85-2026.pdf</x:v>
      </x:c>
      <x:c r="U133" t="str">
        <x:v>هيئة تقويم التعليم والتدريب – نواتج التعلم (صياغة أصلية)</x:v>
      </x:c>
    </x:row>
    <x:row r="134" ht="54" customHeight="1">
      <x:c r="A134" s="24" t="str">
        <x:v>PHY033</x:v>
      </x:c>
      <x:c r="B134" s="24" t="str">
        <x:v>فيزياء</x:v>
      </x:c>
      <x:c r="C134" s="24" t="str">
        <x:v>العلوم الفيزيائية</x:v>
      </x:c>
      <x:c r="D134" s="24" t="str">
        <x:v>الحركة والقوى</x:v>
      </x:c>
      <x:c r="E134" s="24" t="str">
        <x:v>5-2-2-5-9</x:v>
      </x:c>
      <x:c r="F134" s="24" t="str">
        <x:v>قانون نيوتن الثالث</x:v>
      </x:c>
      <x:c r="G134" s="24" t="str">
        <x:v>تطبيق</x:v>
      </x:c>
      <x:c r="H134" s="24" t="str">
        <x:v>متوسط</x:v>
      </x:c>
      <x:c r="I134" s="24" t="str">
        <x:v>اختيار من متعدد</x:v>
      </x:c>
      <x:c r="J134" s="20" t="str">
        <x:v>عندما يدفع سباح الماء إلى الخلف، يتحرك جسمه إلى الأمام. ما القانون الذي يفسر ذلك؟</x:v>
      </x:c>
      <x:c r="K134" s="20" t="str">
        <x:v>قانون نيوتن الأول فقط</x:v>
      </x:c>
      <x:c r="L134" s="20" t="str">
        <x:v>قانون نيوتن الثاني فقط</x:v>
      </x:c>
      <x:c r="M134" s="20" t="str">
        <x:v>قانون نيوتن الثالث</x:v>
      </x:c>
      <x:c r="N134" s="20" t="str">
        <x:v>قانون أوم</x:v>
      </x:c>
      <x:c r="O134" s="20" t="str">
        <x:v>ج</x:v>
      </x:c>
      <x:c r="P134" s="20" t="str">
        <x:v>لكل قوة فعل قوة رد فعل مساوية لها في المقدار ومعاكسة في الاتجاه.</x:v>
      </x:c>
      <x:c r="Q134" s="24" t="str">
        <x:v>صورة</x:v>
      </x:c>
      <x:c r="R134" s="24" t="str">
        <x:v>سباح يدفع الماء للخلف وسهم رد الفعل إلى الأمام</x:v>
      </x:c>
      <x:c r="S134" s="24" t="str">
        <x:v>محاكي أصلي مستلهم من نمط نافس ومبني على ناتج تعلم رسمي</x:v>
      </x:c>
      <x:c r="T134" s="24" t="str">
        <x:v>https://media.etec.gov.sa/media/sszdnh2h/%D9%86%D9%88%D8%A7%D8%AA%D8%AC-%D8%A7%D9%84%D8%AA%D8%B9%D9%84%D9%85-2026.pdf</x:v>
      </x:c>
      <x:c r="U134" t="str">
        <x:v>هيئة تقويم التعليم والتدريب – نواتج التعلم (صياغة أصلية)</x:v>
      </x:c>
    </x:row>
    <x:row r="135" ht="54" customHeight="1">
      <x:c r="A135" s="24" t="str">
        <x:v>PHY034</x:v>
      </x:c>
      <x:c r="B135" s="24" t="str">
        <x:v>فيزياء</x:v>
      </x:c>
      <x:c r="C135" s="24" t="str">
        <x:v>العلوم الفيزيائية</x:v>
      </x:c>
      <x:c r="D135" s="24" t="str">
        <x:v>الحركة والقوى</x:v>
      </x:c>
      <x:c r="E135" s="24" t="str">
        <x:v>5-2-2-5-9</x:v>
      </x:c>
      <x:c r="F135" s="24" t="str">
        <x:v>التمييز بين الكتلة والوزن</x:v>
      </x:c>
      <x:c r="G135" s="24" t="str">
        <x:v>تطبيق</x:v>
      </x:c>
      <x:c r="H135" s="24" t="str">
        <x:v>متوسط</x:v>
      </x:c>
      <x:c r="I135" s="24" t="str">
        <x:v>اختيار من متعدد</x:v>
      </x:c>
      <x:c r="J135" s="20" t="str">
        <x:v>إذا انتقل جسم من الأرض إلى القمر، أي كمية تبقى ثابتة تقريبًا؟</x:v>
      </x:c>
      <x:c r="K135" s="20" t="str">
        <x:v>الكتلة</x:v>
      </x:c>
      <x:c r="L135" s="20" t="str">
        <x:v>الوزن</x:v>
      </x:c>
      <x:c r="M135" s="20" t="str">
        <x:v>قوة الجاذبية عليه</x:v>
      </x:c>
      <x:c r="N135" s="20" t="str">
        <x:v>التسارع الجاذبي</x:v>
      </x:c>
      <x:c r="O135" s="20" t="str">
        <x:v>أ</x:v>
      </x:c>
      <x:c r="P135" s="20" t="str">
        <x:v>الكتلة مقدار المادة ولا تعتمد على شدة الجاذبية، بينما الوزن يتغير.</x:v>
      </x:c>
      <x:c r="Q135" s="24" t="str">
        <x:v>نصي</x:v>
      </x:c>
      <x:c r="R135" s="24"/>
      <x:c r="S135" s="24" t="str">
        <x:v>محاكي أصلي مستلهم من نمط نافس ومبني على ناتج تعلم رسمي</x:v>
      </x:c>
      <x:c r="T135" s="24" t="str">
        <x:v>https://media.etec.gov.sa/media/sszdnh2h/%D9%86%D9%88%D8%A7%D8%AA%D8%AC-%D8%A7%D9%84%D8%AA%D8%B9%D9%84%D9%85-2026.pdf</x:v>
      </x:c>
      <x:c r="U135" t="str">
        <x:v>هيئة تقويم التعليم والتدريب – نواتج التعلم (صياغة أصلية)</x:v>
      </x:c>
    </x:row>
    <x:row r="136" ht="54" customHeight="1">
      <x:c r="A136" s="24" t="str">
        <x:v>PHY035</x:v>
      </x:c>
      <x:c r="B136" s="24" t="str">
        <x:v>فيزياء</x:v>
      </x:c>
      <x:c r="C136" s="24" t="str">
        <x:v>العلوم الفيزيائية</x:v>
      </x:c>
      <x:c r="D136" s="24" t="str">
        <x:v>الحركة والقوى</x:v>
      </x:c>
      <x:c r="E136" s="24" t="str">
        <x:v>5-2-2-5-9</x:v>
      </x:c>
      <x:c r="F136" s="24" t="str">
        <x:v>القوى المتزنة</x:v>
      </x:c>
      <x:c r="G136" s="24" t="str">
        <x:v>تطبيق</x:v>
      </x:c>
      <x:c r="H136" s="24" t="str">
        <x:v>سهل</x:v>
      </x:c>
      <x:c r="I136" s="24" t="str">
        <x:v>اختيار من متعدد</x:v>
      </x:c>
      <x:c r="J136" s="20" t="str">
        <x:v>تؤثر قوتان مقدار كل منهما 10 N في جسم باتجاهين متعاكسين على الخط نفسه. ما القوة المحصلة؟</x:v>
      </x:c>
      <x:c r="K136" s="20" t="str">
        <x:v>0 N</x:v>
      </x:c>
      <x:c r="L136" s="20" t="str">
        <x:v>10 N</x:v>
      </x:c>
      <x:c r="M136" s="20" t="str">
        <x:v>20 N</x:v>
      </x:c>
      <x:c r="N136" s="20" t="str">
        <x:v>100 N</x:v>
      </x:c>
      <x:c r="O136" s="20" t="str">
        <x:v>أ</x:v>
      </x:c>
      <x:c r="P136" s="20" t="str">
        <x:v>القوتان المتساويتان والمتعاكستان تتلاشيان فتكون المحصلة صفرًا.</x:v>
      </x:c>
      <x:c r="Q136" s="24" t="str">
        <x:v>رسم</x:v>
      </x:c>
      <x:c r="R136" s="24" t="str">
        <x:v>جسم وسهمان متساويان 10 N في اتجاهين متعاكسين</x:v>
      </x:c>
      <x:c r="S136" s="24" t="str">
        <x:v>محاكي أصلي مستلهم من نمط نافس ومبني على ناتج تعلم رسمي</x:v>
      </x:c>
      <x:c r="T136" s="24" t="str">
        <x:v>https://media.etec.gov.sa/media/sszdnh2h/%D9%86%D9%88%D8%A7%D8%AA%D8%AC-%D8%A7%D9%84%D8%AA%D8%B9%D9%84%D9%85-2026.pdf</x:v>
      </x:c>
      <x:c r="U136" t="str">
        <x:v>هيئة تقويم التعليم والتدريب – نواتج التعلم (صياغة أصلية)</x:v>
      </x:c>
    </x:row>
    <x:row r="137" ht="54" customHeight="1">
      <x:c r="A137" s="24" t="str">
        <x:v>PHY036</x:v>
      </x:c>
      <x:c r="B137" s="24" t="str">
        <x:v>فيزياء</x:v>
      </x:c>
      <x:c r="C137" s="24" t="str">
        <x:v>العلوم الفيزيائية</x:v>
      </x:c>
      <x:c r="D137" s="24" t="str">
        <x:v>الحركة والقوى</x:v>
      </x:c>
      <x:c r="E137" s="24" t="str">
        <x:v>5-2-2-5-9</x:v>
      </x:c>
      <x:c r="F137" s="24" t="str">
        <x:v>أثر القوة غير المتزنة</x:v>
      </x:c>
      <x:c r="G137" s="24" t="str">
        <x:v>استدلال</x:v>
      </x:c>
      <x:c r="H137" s="24" t="str">
        <x:v>متوسط</x:v>
      </x:c>
      <x:c r="I137" s="24" t="str">
        <x:v>اختيار من متعدد</x:v>
      </x:c>
      <x:c r="J137" s="20" t="str">
        <x:v>جسم يتحرك بسرعة ثابتة ثم أثرت فيه قوة محصلة باتجاه حركته. ما المتوقع؟</x:v>
      </x:c>
      <x:c r="K137" s="20" t="str">
        <x:v>تزداد سرعته</x:v>
      </x:c>
      <x:c r="L137" s="20" t="str">
        <x:v>يتوقف فورًا</x:v>
      </x:c>
      <x:c r="M137" s="20" t="str">
        <x:v>لا يحدث أي تغير</x:v>
      </x:c>
      <x:c r="N137" s="20" t="str">
        <x:v>تنعدم كتلته</x:v>
      </x:c>
      <x:c r="O137" s="20" t="str">
        <x:v>أ</x:v>
      </x:c>
      <x:c r="P137" s="20" t="str">
        <x:v>القوة المحصلة في اتجاه الحركة تسبب تسارعًا في ذلك الاتجاه.</x:v>
      </x:c>
      <x:c r="Q137" s="24" t="str">
        <x:v>نصي</x:v>
      </x:c>
      <x:c r="R137" s="24"/>
      <x:c r="S137" s="24" t="str">
        <x:v>محاكي أصلي مستلهم من نمط نافس ومبني على ناتج تعلم رسمي</x:v>
      </x:c>
      <x:c r="T137" s="24" t="str">
        <x:v>https://media.etec.gov.sa/media/sszdnh2h/%D9%86%D9%88%D8%A7%D8%AA%D8%AC-%D8%A7%D9%84%D8%AA%D8%B9%D9%84%D9%85-2026.pdf</x:v>
      </x:c>
      <x:c r="U137" t="str">
        <x:v>هيئة تقويم التعليم والتدريب – نواتج التعلم (صياغة أصلية)</x:v>
      </x:c>
    </x:row>
    <x:row r="138" ht="54" customHeight="1">
      <x:c r="A138" s="24" t="str">
        <x:v>PHY037</x:v>
      </x:c>
      <x:c r="B138" s="24" t="str">
        <x:v>فيزياء</x:v>
      </x:c>
      <x:c r="C138" s="24" t="str">
        <x:v>العلوم الفيزيائية</x:v>
      </x:c>
      <x:c r="D138" s="24" t="str">
        <x:v>الكهرومغناطيسية</x:v>
      </x:c>
      <x:c r="E138" s="24" t="str">
        <x:v>1-3-2-5-9</x:v>
      </x:c>
      <x:c r="F138" s="24" t="str">
        <x:v>تطبيق قانون أوم</x:v>
      </x:c>
      <x:c r="G138" s="24" t="str">
        <x:v>تطبيق</x:v>
      </x:c>
      <x:c r="H138" s="24" t="str">
        <x:v>متوسط</x:v>
      </x:c>
      <x:c r="I138" s="24" t="str">
        <x:v>اختيار من متعدد</x:v>
      </x:c>
      <x:c r="J138" s="20" t="str">
        <x:v>مقاومة مقدارها 6 Ω يمر بها تيار 2 A. ما فرق الجهد؟</x:v>
      </x:c>
      <x:c r="K138" s="20" t="str">
        <x:v>3 V</x:v>
      </x:c>
      <x:c r="L138" s="20" t="str">
        <x:v>8 V</x:v>
      </x:c>
      <x:c r="M138" s="20" t="str">
        <x:v>12 V</x:v>
      </x:c>
      <x:c r="N138" s="20" t="str">
        <x:v>18 V</x:v>
      </x:c>
      <x:c r="O138" s="20" t="str">
        <x:v>ج</x:v>
      </x:c>
      <x:c r="P138" s="20" t="str">
        <x:v>V = I R = 2 × 6 = 12 V.</x:v>
      </x:c>
      <x:c r="Q138" s="24" t="str">
        <x:v>رسم</x:v>
      </x:c>
      <x:c r="R138" s="24" t="str">
        <x:v>دائرة بسيطة توضح مقاومة 6Ω وتيار 2A ومصدر جهد</x:v>
      </x:c>
      <x:c r="S138" s="24" t="str">
        <x:v>محاكي أصلي مستلهم من نمط نافس ومبني على ناتج تعلم رسمي</x:v>
      </x:c>
      <x:c r="T138" s="24" t="str">
        <x:v>https://media.etec.gov.sa/media/sszdnh2h/%D9%86%D9%88%D8%A7%D8%AA%D8%AC-%D8%A7%D9%84%D8%AA%D8%B9%D9%84%D9%85-2026.pdf</x:v>
      </x:c>
      <x:c r="U138" t="str">
        <x:v>هيئة تقويم التعليم والتدريب – نواتج التعلم (صياغة أصلية)</x:v>
      </x:c>
    </x:row>
    <x:row r="139" ht="54" customHeight="1">
      <x:c r="A139" s="24" t="str">
        <x:v>PHY038</x:v>
      </x:c>
      <x:c r="B139" s="24" t="str">
        <x:v>فيزياء</x:v>
      </x:c>
      <x:c r="C139" s="24" t="str">
        <x:v>العلوم الفيزيائية</x:v>
      </x:c>
      <x:c r="D139" s="24" t="str">
        <x:v>الكهرومغناطيسية</x:v>
      </x:c>
      <x:c r="E139" s="24" t="str">
        <x:v>2-3-2-5-9</x:v>
      </x:c>
      <x:c r="F139" s="24" t="str">
        <x:v>التيار في دائرة التوالي</x:v>
      </x:c>
      <x:c r="G139" s="24" t="str">
        <x:v>تطبيق</x:v>
      </x:c>
      <x:c r="H139" s="24" t="str">
        <x:v>متوسط</x:v>
      </x:c>
      <x:c r="I139" s="24" t="str">
        <x:v>اختيار من متعدد</x:v>
      </x:c>
      <x:c r="J139" s="20" t="str">
        <x:v>في دائرة توالٍ بسيطة يمر تيار 0.5 A في المصباح الأول. ما التيار في المصباح الثاني في المسار نفسه؟</x:v>
      </x:c>
      <x:c r="K139" s="20" t="str">
        <x:v>0 A</x:v>
      </x:c>
      <x:c r="L139" s="20" t="str">
        <x:v>0.25 A</x:v>
      </x:c>
      <x:c r="M139" s="20" t="str">
        <x:v>0.5 A</x:v>
      </x:c>
      <x:c r="N139" s="20" t="str">
        <x:v>1 A</x:v>
      </x:c>
      <x:c r="O139" s="20" t="str">
        <x:v>ج</x:v>
      </x:c>
      <x:c r="P139" s="20" t="str">
        <x:v>في دائرة التوالي يمر التيار نفسه في مكونات المسار الواحد.</x:v>
      </x:c>
      <x:c r="Q139" s="24" t="str">
        <x:v>رسم</x:v>
      </x:c>
      <x:c r="R139" s="24" t="str">
        <x:v>دائرة توالٍ بمصباحين وأميتر يوضح مسارًا واحدًا</x:v>
      </x:c>
      <x:c r="S139" s="24" t="str">
        <x:v>محاكي أصلي مستلهم من نمط نافس ومبني على ناتج تعلم رسمي</x:v>
      </x:c>
      <x:c r="T139" s="24" t="str">
        <x:v>https://media.etec.gov.sa/media/sszdnh2h/%D9%86%D9%88%D8%A7%D8%AA%D8%AC-%D8%A7%D9%84%D8%AA%D8%B9%D9%84%D9%85-2026.pdf</x:v>
      </x:c>
      <x:c r="U139" t="str">
        <x:v>هيئة تقويم التعليم والتدريب – نواتج التعلم (صياغة أصلية)</x:v>
      </x:c>
    </x:row>
    <x:row r="140" ht="54" customHeight="1">
      <x:c r="A140" s="24" t="str">
        <x:v>PHY039</x:v>
      </x:c>
      <x:c r="B140" s="24" t="str">
        <x:v>فيزياء</x:v>
      </x:c>
      <x:c r="C140" s="24" t="str">
        <x:v>العلوم الفيزيائية</x:v>
      </x:c>
      <x:c r="D140" s="24" t="str">
        <x:v>الكهرومغناطيسية</x:v>
      </x:c>
      <x:c r="E140" s="24" t="str">
        <x:v>2-3-2-5-9</x:v>
      </x:c>
      <x:c r="F140" s="24" t="str">
        <x:v>الجهد في فروع التوازي</x:v>
      </x:c>
      <x:c r="G140" s="24" t="str">
        <x:v>استدلال</x:v>
      </x:c>
      <x:c r="H140" s="24" t="str">
        <x:v>متوسط</x:v>
      </x:c>
      <x:c r="I140" s="24" t="str">
        <x:v>اختيار من متعدد</x:v>
      </x:c>
      <x:c r="J140" s="20" t="str">
        <x:v>وصل مصباحان على التوازي بمصدر 12 V. ما فرق الجهد على كل فرع مثاليًا؟</x:v>
      </x:c>
      <x:c r="K140" s="20" t="str">
        <x:v>6 V</x:v>
      </x:c>
      <x:c r="L140" s="20" t="str">
        <x:v>12 V</x:v>
      </x:c>
      <x:c r="M140" s="20" t="str">
        <x:v>24 V</x:v>
      </x:c>
      <x:c r="N140" s="20" t="str">
        <x:v>يعتمد فقط على لون المصباح</x:v>
      </x:c>
      <x:c r="O140" s="20" t="str">
        <x:v>ب</x:v>
      </x:c>
      <x:c r="P140" s="20" t="str">
        <x:v>في التوازي يكون فرق الجهد عبر كل فرع مساويًا لفرق جهد المصدر.</x:v>
      </x:c>
      <x:c r="Q140" s="24" t="str">
        <x:v>رسم</x:v>
      </x:c>
      <x:c r="R140" s="24" t="str">
        <x:v>دائرة توازٍ بفرعين ومصدر 12V</x:v>
      </x:c>
      <x:c r="S140" s="24" t="str">
        <x:v>محاكي أصلي مستلهم من نمط نافس ومبني على ناتج تعلم رسمي</x:v>
      </x:c>
      <x:c r="T140" s="24" t="str">
        <x:v>https://media.etec.gov.sa/media/sszdnh2h/%D9%86%D9%88%D8%A7%D8%AA%D8%AC-%D8%A7%D9%84%D8%AA%D8%B9%D9%84%D9%85-2026.pdf</x:v>
      </x:c>
      <x:c r="U140" t="str">
        <x:v>هيئة تقويم التعليم والتدريب – نواتج التعلم (صياغة أصلية)</x:v>
      </x:c>
    </x:row>
    <x:row r="141" ht="54" customHeight="1">
      <x:c r="A141" s="24" t="str">
        <x:v>PHY040</x:v>
      </x:c>
      <x:c r="B141" s="24" t="str">
        <x:v>فيزياء</x:v>
      </x:c>
      <x:c r="C141" s="24" t="str">
        <x:v>العلوم الفيزيائية</x:v>
      </x:c>
      <x:c r="D141" s="24" t="str">
        <x:v>الكهرومغناطيسية</x:v>
      </x:c>
      <x:c r="E141" s="24" t="str">
        <x:v>1-3-2-5-9</x:v>
      </x:c>
      <x:c r="F141" s="24" t="str">
        <x:v>العلاقة بين المقاومة والتيار</x:v>
      </x:c>
      <x:c r="G141" s="24" t="str">
        <x:v>استدلال</x:v>
      </x:c>
      <x:c r="H141" s="24" t="str">
        <x:v>متوسط</x:v>
      </x:c>
      <x:c r="I141" s="24" t="str">
        <x:v>اختيار من متعدد</x:v>
      </x:c>
      <x:c r="J141" s="20" t="str">
        <x:v>عند ثبات فرق الجهد، ماذا يحدث للتيار إذا تضاعفت المقاومة؟</x:v>
      </x:c>
      <x:c r="K141" s="20" t="str">
        <x:v>يتضاعف</x:v>
      </x:c>
      <x:c r="L141" s="20" t="str">
        <x:v>ينخفض إلى النصف</x:v>
      </x:c>
      <x:c r="M141" s="20" t="str">
        <x:v>يبقى ثابتًا</x:v>
      </x:c>
      <x:c r="N141" s="20" t="str">
        <x:v>يصبح صفرًا دائمًا</x:v>
      </x:c>
      <x:c r="O141" s="20" t="str">
        <x:v>ب</x:v>
      </x:c>
      <x:c r="P141" s="20" t="str">
        <x:v>وفق قانون أوم I=V/R؛ عند مضاعفة R مع ثبات V ينخفض I إلى النصف.</x:v>
      </x:c>
      <x:c r="Q141" s="24" t="str">
        <x:v>نصي</x:v>
      </x:c>
      <x:c r="R141" s="24"/>
      <x:c r="S141" s="24" t="str">
        <x:v>محاكي أصلي مستلهم من نمط نافس ومبني على ناتج تعلم رسمي</x:v>
      </x:c>
      <x:c r="T141" s="24" t="str">
        <x:v>https://media.etec.gov.sa/media/sszdnh2h/%D9%86%D9%88%D8%A7%D8%AA%D8%AC-%D8%A7%D9%84%D8%AA%D8%B9%D9%84%D9%85-2026.pdf</x:v>
      </x:c>
      <x:c r="U141" t="str">
        <x:v>هيئة تقويم التعليم والتدريب – نواتج التعلم (صياغة أصلية)</x:v>
      </x:c>
    </x:row>
    <x:row r="142" ht="54" customHeight="1">
      <x:c r="A142" s="24" t="str">
        <x:v>PHY041</x:v>
      </x:c>
      <x:c r="B142" s="24" t="str">
        <x:v>فيزياء</x:v>
      </x:c>
      <x:c r="C142" s="24" t="str">
        <x:v>العلوم الفيزيائية</x:v>
      </x:c>
      <x:c r="D142" s="24" t="str">
        <x:v>الكهرومغناطيسية</x:v>
      </x:c>
      <x:c r="E142" s="24" t="str">
        <x:v>2-3-2-5-9</x:v>
      </x:c>
      <x:c r="F142" s="24" t="str">
        <x:v>أثر فتح دائرة التوالي</x:v>
      </x:c>
      <x:c r="G142" s="24" t="str">
        <x:v>تطبيق</x:v>
      </x:c>
      <x:c r="H142" s="24" t="str">
        <x:v>متوسط</x:v>
      </x:c>
      <x:c r="I142" s="24" t="str">
        <x:v>اختيار من متعدد</x:v>
      </x:c>
      <x:c r="J142" s="20" t="str">
        <x:v>في سلسلة من ثلاثة مصابيح موصولة على التوالي، احترق أحدها وفتح الدائرة. ماذا يحدث للبقية؟</x:v>
      </x:c>
      <x:c r="K142" s="20" t="str">
        <x:v>تستمر كلها</x:v>
      </x:c>
      <x:c r="L142" s="20" t="str">
        <x:v>تنطفئ لأن المسار انقطع</x:v>
      </x:c>
      <x:c r="M142" s="20" t="str">
        <x:v>يزداد سطوعها حتمًا</x:v>
      </x:c>
      <x:c r="N142" s="20" t="str">
        <x:v>يتحول التوصيل إلى توازٍ</x:v>
      </x:c>
      <x:c r="O142" s="20" t="str">
        <x:v>ب</x:v>
      </x:c>
      <x:c r="P142" s="20" t="str">
        <x:v>انقطاع أي جزء من مسار التوالي يوقف التيار في جميع المكونات.</x:v>
      </x:c>
      <x:c r="Q142" s="24" t="str">
        <x:v>نصي</x:v>
      </x:c>
      <x:c r="R142" s="24"/>
      <x:c r="S142" s="24" t="str">
        <x:v>محاكي أصلي مستلهم من نمط نافس ومبني على ناتج تعلم رسمي</x:v>
      </x:c>
      <x:c r="T142" s="24" t="str">
        <x:v>https://media.etec.gov.sa/media/sszdnh2h/%D9%86%D9%88%D8%A7%D8%AA%D8%AC-%D8%A7%D9%84%D8%AA%D8%B9%D9%84%D9%85-2026.pdf</x:v>
      </x:c>
      <x:c r="U142" t="str">
        <x:v>هيئة تقويم التعليم والتدريب – نواتج التعلم (صياغة أصلية)</x:v>
      </x:c>
    </x:row>
    <x:row r="143" ht="54" customHeight="1">
      <x:c r="A143" s="24" t="str">
        <x:v>PHY042</x:v>
      </x:c>
      <x:c r="B143" s="24" t="str">
        <x:v>فيزياء</x:v>
      </x:c>
      <x:c r="C143" s="24" t="str">
        <x:v>العلوم الفيزيائية</x:v>
      </x:c>
      <x:c r="D143" s="24" t="str">
        <x:v>الكهرومغناطيسية</x:v>
      </x:c>
      <x:c r="E143" s="24" t="str">
        <x:v>1-3-2-5-9</x:v>
      </x:c>
      <x:c r="F143" s="24" t="str">
        <x:v>السلامة الكهربائية والمقاومة</x:v>
      </x:c>
      <x:c r="G143" s="24" t="str">
        <x:v>استدلال</x:v>
      </x:c>
      <x:c r="H143" s="24" t="str">
        <x:v>متوسط</x:v>
      </x:c>
      <x:c r="I143" s="24" t="str">
        <x:v>اختيار من متعدد</x:v>
      </x:c>
      <x:c r="J143" s="20" t="str">
        <x:v>لماذا يعد السلك المكشوف الرطب أكثر خطورة من السلك المعزول الجاف؟</x:v>
      </x:c>
      <x:c r="K143" s="20" t="str">
        <x:v>لأن الماء قد يقلل المقاومة ويسمح بمرور تيار أكبر</x:v>
      </x:c>
      <x:c r="L143" s="20" t="str">
        <x:v>لأن الماء يمنع التيار تمامًا</x:v>
      </x:c>
      <x:c r="M143" s="20" t="str">
        <x:v>لأن العازل يزيد التيار</x:v>
      </x:c>
      <x:c r="N143" s="20" t="str">
        <x:v>لأن الجهد يختفي</x:v>
      </x:c>
      <x:c r="O143" s="20" t="str">
        <x:v>أ</x:v>
      </x:c>
      <x:c r="P143" s="20" t="str">
        <x:v>انخفاض المقاومة في مسار عبر الجسم يمكن أن يسمح بمرور تيار أكبر وخطر أعلى.</x:v>
      </x:c>
      <x:c r="Q143" s="24" t="str">
        <x:v>نصي</x:v>
      </x:c>
      <x:c r="R143" s="24"/>
      <x:c r="S143" s="24" t="str">
        <x:v>محاكي أصلي مستلهم من نمط نافس ومبني على ناتج تعلم رسمي</x:v>
      </x:c>
      <x:c r="T143" s="24" t="str">
        <x:v>https://media.etec.gov.sa/media/sszdnh2h/%D9%86%D9%88%D8%A7%D8%AA%D8%AC-%D8%A7%D9%84%D8%AA%D8%B9%D9%84%D9%85-2026.pdf</x:v>
      </x:c>
      <x:c r="U143" t="str">
        <x:v>هيئة تقويم التعليم والتدريب – نواتج التعلم (صياغة أصلية)</x:v>
      </x:c>
    </x:row>
    <x:row r="144" ht="54" customHeight="1">
      <x:c r="A144" s="24" t="str">
        <x:v>PHY043</x:v>
      </x:c>
      <x:c r="B144" s="24" t="str">
        <x:v>فيزياء</x:v>
      </x:c>
      <x:c r="C144" s="24" t="str">
        <x:v>العلوم الفيزيائية</x:v>
      </x:c>
      <x:c r="D144" s="24" t="str">
        <x:v>الكهرومغناطيسية</x:v>
      </x:c>
      <x:c r="E144" s="24" t="str">
        <x:v>4-3-2-5-9</x:v>
      </x:c>
      <x:c r="F144" s="24" t="str">
        <x:v>تقوية المغناطيس الكهربائي</x:v>
      </x:c>
      <x:c r="G144" s="24" t="str">
        <x:v>تطبيق</x:v>
      </x:c>
      <x:c r="H144" s="24" t="str">
        <x:v>متوسط</x:v>
      </x:c>
      <x:c r="I144" s="24" t="str">
        <x:v>اختيار من متعدد</x:v>
      </x:c>
      <x:c r="J144" s="20" t="str">
        <x:v>أي إجراء يزيد قوة مغناطيس كهربائي بسيط غالبًا؟</x:v>
      </x:c>
      <x:c r="K144" s="20" t="str">
        <x:v>زيادة عدد لفات السلك حول القلب الحديدي</x:v>
      </x:c>
      <x:c r="L144" s="20" t="str">
        <x:v>إزالة مصدر التيار</x:v>
      </x:c>
      <x:c r="M144" s="20" t="str">
        <x:v>تقليل اللفات إلى صفر</x:v>
      </x:c>
      <x:c r="N144" s="20" t="str">
        <x:v>استخدام خيط بدل السلك</x:v>
      </x:c>
      <x:c r="O144" s="20" t="str">
        <x:v>أ</x:v>
      </x:c>
      <x:c r="P144" s="20" t="str">
        <x:v>زيادة عدد اللفات أو شدة التيار يزيد المجال المغناطيسي للمغناطيس الكهربائي.</x:v>
      </x:c>
      <x:c r="Q144" s="24" t="str">
        <x:v>صورة</x:v>
      </x:c>
      <x:c r="R144" s="24" t="str">
        <x:v>مسمار حديدي ملفوف بسلك وبطارية مع مقارنة عدد لفات</x:v>
      </x:c>
      <x:c r="S144" s="24" t="str">
        <x:v>محاكي أصلي مستلهم من نمط نافس ومبني على ناتج تعلم رسمي</x:v>
      </x:c>
      <x:c r="T144" s="24" t="str">
        <x:v>https://media.etec.gov.sa/media/sszdnh2h/%D9%86%D9%88%D8%A7%D8%AA%D8%AC-%D8%A7%D9%84%D8%AA%D8%B9%D9%84%D9%85-2026.pdf</x:v>
      </x:c>
      <x:c r="U144" t="str">
        <x:v>هيئة تقويم التعليم والتدريب – نواتج التعلم (صياغة أصلية)</x:v>
      </x:c>
    </x:row>
    <x:row r="145" ht="54" customHeight="1">
      <x:c r="A145" s="24" t="str">
        <x:v>PHY044</x:v>
      </x:c>
      <x:c r="B145" s="24" t="str">
        <x:v>فيزياء</x:v>
      </x:c>
      <x:c r="C145" s="24" t="str">
        <x:v>العلوم الفيزيائية</x:v>
      </x:c>
      <x:c r="D145" s="24" t="str">
        <x:v>الكهرومغناطيسية</x:v>
      </x:c>
      <x:c r="E145" s="24" t="str">
        <x:v>4-3-2-5-9</x:v>
      </x:c>
      <x:c r="F145" s="24" t="str">
        <x:v>تحولات الطاقة في المولد</x:v>
      </x:c>
      <x:c r="G145" s="24" t="str">
        <x:v>معرفة</x:v>
      </x:c>
      <x:c r="H145" s="24" t="str">
        <x:v>سهل</x:v>
      </x:c>
      <x:c r="I145" s="24" t="str">
        <x:v>اختيار من متعدد</x:v>
      </x:c>
      <x:c r="J145" s="20" t="str">
        <x:v>المولد الكهربائي يحول الطاقة أساسًا من:</x:v>
      </x:c>
      <x:c r="K145" s="20" t="str">
        <x:v>ميكانيكية إلى كهربائية</x:v>
      </x:c>
      <x:c r="L145" s="20" t="str">
        <x:v>كهربائية إلى كيميائية فقط</x:v>
      </x:c>
      <x:c r="M145" s="20" t="str">
        <x:v>ضوئية إلى نووية</x:v>
      </x:c>
      <x:c r="N145" s="20" t="str">
        <x:v>حرارية إلى كتلة</x:v>
      </x:c>
      <x:c r="O145" s="20" t="str">
        <x:v>أ</x:v>
      </x:c>
      <x:c r="P145" s="20" t="str">
        <x:v>المولد يستغل الحركة في مجال مغناطيسي لإنتاج طاقة كهربائية.</x:v>
      </x:c>
      <x:c r="Q145" s="24" t="str">
        <x:v>نصي</x:v>
      </x:c>
      <x:c r="R145" s="24"/>
      <x:c r="S145" s="24" t="str">
        <x:v>محاكي أصلي مستلهم من نمط نافس ومبني على ناتج تعلم رسمي</x:v>
      </x:c>
      <x:c r="T145" s="24" t="str">
        <x:v>https://media.etec.gov.sa/media/sszdnh2h/%D9%86%D9%88%D8%A7%D8%AA%D8%AC-%D8%A7%D9%84%D8%AA%D8%B9%D9%84%D9%85-2026.pdf</x:v>
      </x:c>
      <x:c r="U145" t="str">
        <x:v>هيئة تقويم التعليم والتدريب – نواتج التعلم (صياغة أصلية)</x:v>
      </x:c>
    </x:row>
    <x:row r="146" ht="54" customHeight="1">
      <x:c r="A146" s="24" t="str">
        <x:v>PHY045</x:v>
      </x:c>
      <x:c r="B146" s="24" t="str">
        <x:v>فيزياء</x:v>
      </x:c>
      <x:c r="C146" s="24" t="str">
        <x:v>العلوم الفيزيائية</x:v>
      </x:c>
      <x:c r="D146" s="24" t="str">
        <x:v>الكهرومغناطيسية</x:v>
      </x:c>
      <x:c r="E146" s="24" t="str">
        <x:v>4-3-2-5-9</x:v>
      </x:c>
      <x:c r="F146" s="24" t="str">
        <x:v>تحولات الطاقة في المحرك</x:v>
      </x:c>
      <x:c r="G146" s="24" t="str">
        <x:v>معرفة</x:v>
      </x:c>
      <x:c r="H146" s="24" t="str">
        <x:v>سهل</x:v>
      </x:c>
      <x:c r="I146" s="24" t="str">
        <x:v>اختيار من متعدد</x:v>
      </x:c>
      <x:c r="J146" s="20" t="str">
        <x:v>المحرك الكهربائي يحول الطاقة أساسًا من:</x:v>
      </x:c>
      <x:c r="K146" s="20" t="str">
        <x:v>كهربائية إلى ميكانيكية</x:v>
      </x:c>
      <x:c r="L146" s="20" t="str">
        <x:v>ميكانيكية إلى كهربائية</x:v>
      </x:c>
      <x:c r="M146" s="20" t="str">
        <x:v>نووية إلى ضوئية فقط</x:v>
      </x:c>
      <x:c r="N146" s="20" t="str">
        <x:v>صوتية إلى كيميائية</x:v>
      </x:c>
      <x:c r="O146" s="20" t="str">
        <x:v>أ</x:v>
      </x:c>
      <x:c r="P146" s="20" t="str">
        <x:v>المحرك يستخدم التأثير المغناطيسي للتيار لإنتاج حركة.</x:v>
      </x:c>
      <x:c r="Q146" s="24" t="str">
        <x:v>نصي</x:v>
      </x:c>
      <x:c r="R146" s="24"/>
      <x:c r="S146" s="24" t="str">
        <x:v>محاكي أصلي مستلهم من نمط نافس ومبني على ناتج تعلم رسمي</x:v>
      </x:c>
      <x:c r="T146" s="24" t="str">
        <x:v>https://media.etec.gov.sa/media/sszdnh2h/%D9%86%D9%88%D8%A7%D8%AA%D8%AC-%D8%A7%D9%84%D8%AA%D8%B9%D9%84%D9%85-2026.pdf</x:v>
      </x:c>
      <x:c r="U146" t="str">
        <x:v>هيئة تقويم التعليم والتدريب – نواتج التعلم (صياغة أصلية)</x:v>
      </x:c>
    </x:row>
    <x:row r="147" ht="54" customHeight="1">
      <x:c r="A147" s="24" t="str">
        <x:v>PHY046</x:v>
      </x:c>
      <x:c r="B147" s="24" t="str">
        <x:v>فيزياء</x:v>
      </x:c>
      <x:c r="C147" s="24" t="str">
        <x:v>العلوم الفيزيائية</x:v>
      </x:c>
      <x:c r="D147" s="24" t="str">
        <x:v>الموجات والاهتزازات</x:v>
      </x:c>
      <x:c r="E147" s="24" t="str">
        <x:v>1-5-2-5-9 / 2-5-2-5-9</x:v>
      </x:c>
      <x:c r="F147" s="24" t="str">
        <x:v>العلاقة بين التردد والطول الموجي</x:v>
      </x:c>
      <x:c r="G147" s="24" t="str">
        <x:v>استدلال</x:v>
      </x:c>
      <x:c r="H147" s="24" t="str">
        <x:v>متوسط</x:v>
      </x:c>
      <x:c r="I147" s="24" t="str">
        <x:v>اختيار من متعدد</x:v>
      </x:c>
      <x:c r="J147" s="20" t="str">
        <x:v>في الوسط نفسه وبسرعة موجية ثابتة، ماذا يحدث للطول الموجي إذا زاد التردد؟</x:v>
      </x:c>
      <x:c r="K147" s="20" t="str">
        <x:v>يزداد</x:v>
      </x:c>
      <x:c r="L147" s="20" t="str">
        <x:v>ينخفض</x:v>
      </x:c>
      <x:c r="M147" s="20" t="str">
        <x:v>يبقى ثابتًا دائمًا</x:v>
      </x:c>
      <x:c r="N147" s="20" t="str">
        <x:v>يصبح صفرًا فورًا</x:v>
      </x:c>
      <x:c r="O147" s="20" t="str">
        <x:v>ب</x:v>
      </x:c>
      <x:c r="P147" s="20" t="str">
        <x:v>من العلاقة v=fλ، عند ثبات v يكون الطول الموجي عكسيًا مع التردد.</x:v>
      </x:c>
      <x:c r="Q147" s="24" t="str">
        <x:v>نصي</x:v>
      </x:c>
      <x:c r="R147" s="24"/>
      <x:c r="S147" s="24" t="str">
        <x:v>محاكي أصلي مستلهم من نمط نافس ومبني على ناتج تعلم رسمي</x:v>
      </x:c>
      <x:c r="T147" s="24" t="str">
        <x:v>https://media.etec.gov.sa/media/sszdnh2h/%D9%86%D9%88%D8%A7%D8%AA%D8%AC-%D8%A7%D9%84%D8%AA%D8%B9%D9%84%D9%85-2026.pdf</x:v>
      </x:c>
      <x:c r="U147" t="str">
        <x:v>هيئة تقويم التعليم والتدريب – نواتج التعلم (صياغة أصلية)</x:v>
      </x:c>
    </x:row>
    <x:row r="148" ht="54" customHeight="1">
      <x:c r="A148" s="24" t="str">
        <x:v>PHY047</x:v>
      </x:c>
      <x:c r="B148" s="24" t="str">
        <x:v>فيزياء</x:v>
      </x:c>
      <x:c r="C148" s="24" t="str">
        <x:v>العلوم الفيزيائية</x:v>
      </x:c>
      <x:c r="D148" s="24" t="str">
        <x:v>الموجات والاهتزازات</x:v>
      </x:c>
      <x:c r="E148" s="24" t="str">
        <x:v>1-5-2-5-9 / 2-5-2-5-9</x:v>
      </x:c>
      <x:c r="F148" s="24" t="str">
        <x:v>تمييز الحدة والشدة في الصوت</x:v>
      </x:c>
      <x:c r="G148" s="24" t="str">
        <x:v>تطبيق</x:v>
      </x:c>
      <x:c r="H148" s="24" t="str">
        <x:v>متوسط</x:v>
      </x:c>
      <x:c r="I148" s="24" t="str">
        <x:v>اختيار من متعدد</x:v>
      </x:c>
      <x:c r="J148" s="20" t="str">
        <x:v>موجتان صوتيتان لهما التردد نفسه، لكن سعة الأولى أكبر. كيف يختلف الصوت غالبًا؟</x:v>
      </x:c>
      <x:c r="K148" s="20" t="str">
        <x:v>الأولى أعلى شدة</x:v>
      </x:c>
      <x:c r="L148" s="20" t="str">
        <x:v>الأولى أعلى حدة فقط</x:v>
      </x:c>
      <x:c r="M148" s="20" t="str">
        <x:v>الثانية أسرع في الهواء</x:v>
      </x:c>
      <x:c r="N148" s="20" t="str">
        <x:v>لا يوجد أي فرق</x:v>
      </x:c>
      <x:c r="O148" s="20" t="str">
        <x:v>أ</x:v>
      </x:c>
      <x:c r="P148" s="20" t="str">
        <x:v>سعة موجة الصوت ترتبط بالشدة، بينما التردد يرتبط بالحدة.</x:v>
      </x:c>
      <x:c r="Q148" s="24" t="str">
        <x:v>نصي</x:v>
      </x:c>
      <x:c r="R148" s="24"/>
      <x:c r="S148" s="24" t="str">
        <x:v>محاكي أصلي مستلهم من نمط نافس ومبني على ناتج تعلم رسمي</x:v>
      </x:c>
      <x:c r="T148" s="24" t="str">
        <x:v>https://media.etec.gov.sa/media/sszdnh2h/%D9%86%D9%88%D8%A7%D8%AA%D8%AC-%D8%A7%D9%84%D8%AA%D8%B9%D9%84%D9%85-2026.pdf</x:v>
      </x:c>
      <x:c r="U148" t="str">
        <x:v>هيئة تقويم التعليم والتدريب – نواتج التعلم (صياغة أصلية)</x:v>
      </x:c>
    </x:row>
    <x:row r="149" ht="54" customHeight="1">
      <x:c r="A149" s="24" t="str">
        <x:v>PHY048</x:v>
      </x:c>
      <x:c r="B149" s="24" t="str">
        <x:v>فيزياء</x:v>
      </x:c>
      <x:c r="C149" s="24" t="str">
        <x:v>العلوم الفيزيائية</x:v>
      </x:c>
      <x:c r="D149" s="24" t="str">
        <x:v>الموجات والاهتزازات</x:v>
      </x:c>
      <x:c r="E149" s="24" t="str">
        <x:v>1-5-2-5-9 / 2-5-2-5-9</x:v>
      </x:c>
      <x:c r="F149" s="24" t="str">
        <x:v>انعكاس الضوء</x:v>
      </x:c>
      <x:c r="G149" s="24" t="str">
        <x:v>تطبيق</x:v>
      </x:c>
      <x:c r="H149" s="24" t="str">
        <x:v>متوسط</x:v>
      </x:c>
      <x:c r="I149" s="24" t="str">
        <x:v>اختيار من متعدد</x:v>
      </x:c>
      <x:c r="J149" s="20" t="str">
        <x:v>أي ظاهرة تفسر رؤية صورتك في مرآة مستوية؟</x:v>
      </x:c>
      <x:c r="K149" s="20" t="str">
        <x:v>انعكاس الضوء</x:v>
      </x:c>
      <x:c r="L149" s="20" t="str">
        <x:v>حيود الصوت</x:v>
      </x:c>
      <x:c r="M149" s="20" t="str">
        <x:v>التوصيل الكهربائي</x:v>
      </x:c>
      <x:c r="N149" s="20" t="str">
        <x:v>الانصهار</x:v>
      </x:c>
      <x:c r="O149" s="20" t="str">
        <x:v>أ</x:v>
      </x:c>
      <x:c r="P149" s="20" t="str">
        <x:v>المرآة تعكس الضوء القادم من الجسم إلى العين.</x:v>
      </x:c>
      <x:c r="Q149" s="24" t="str">
        <x:v>نصي</x:v>
      </x:c>
      <x:c r="R149" s="24"/>
      <x:c r="S149" s="24" t="str">
        <x:v>محاكي أصلي مستلهم من نمط نافس ومبني على ناتج تعلم رسمي</x:v>
      </x:c>
      <x:c r="T149" s="24" t="str">
        <x:v>https://media.etec.gov.sa/media/sszdnh2h/%D9%86%D9%88%D8%A7%D8%AA%D8%AC-%D8%A7%D9%84%D8%AA%D8%B9%D9%84%D9%85-2026.pdf</x:v>
      </x:c>
      <x:c r="U149" t="str">
        <x:v>هيئة تقويم التعليم والتدريب – نواتج التعلم (صياغة أصلية)</x:v>
      </x:c>
    </x:row>
    <x:row r="150" ht="54" customHeight="1">
      <x:c r="A150" s="24" t="str">
        <x:v>PHY049</x:v>
      </x:c>
      <x:c r="B150" s="24" t="str">
        <x:v>فيزياء</x:v>
      </x:c>
      <x:c r="C150" s="24" t="str">
        <x:v>العلوم الفيزيائية</x:v>
      </x:c>
      <x:c r="D150" s="24" t="str">
        <x:v>الموجات والاهتزازات</x:v>
      </x:c>
      <x:c r="E150" s="24" t="str">
        <x:v>1-5-2-5-9 / 2-5-2-5-9</x:v>
      </x:c>
      <x:c r="F150" s="24" t="str">
        <x:v>انكسار الضوء</x:v>
      </x:c>
      <x:c r="G150" s="24" t="str">
        <x:v>استدلال</x:v>
      </x:c>
      <x:c r="H150" s="24" t="str">
        <x:v>متوسط</x:v>
      </x:c>
      <x:c r="I150" s="24" t="str">
        <x:v>اختيار من متعدد</x:v>
      </x:c>
      <x:c r="J150" s="20" t="str">
        <x:v>تبدو ملعقة في كأس ماء كأنها منكسرة عند سطح الماء. ما السبب؟</x:v>
      </x:c>
      <x:c r="K150" s="20" t="str">
        <x:v>تغير اتجاه الضوء عند انتقاله بين وسطين</x:v>
      </x:c>
      <x:c r="L150" s="20" t="str">
        <x:v>توقف الضوء تمامًا</x:v>
      </x:c>
      <x:c r="M150" s="20" t="str">
        <x:v>زيادة كتلة الملعقة</x:v>
      </x:c>
      <x:c r="N150" s="20" t="str">
        <x:v>انعكاس الصوت</x:v>
      </x:c>
      <x:c r="O150" s="20" t="str">
        <x:v>أ</x:v>
      </x:c>
      <x:c r="P150" s="20" t="str">
        <x:v>يتغير اتجاه الضوء عند تغير سرعته بين وسطين، وهو الانكسار.</x:v>
      </x:c>
      <x:c r="Q150" s="24" t="str">
        <x:v>نصي</x:v>
      </x:c>
      <x:c r="R150" s="24"/>
      <x:c r="S150" s="24" t="str">
        <x:v>محاكي أصلي مستلهم من نمط نافس ومبني على ناتج تعلم رسمي</x:v>
      </x:c>
      <x:c r="T150" s="24" t="str">
        <x:v>https://media.etec.gov.sa/media/sszdnh2h/%D9%86%D9%88%D8%A7%D8%AA%D8%AC-%D8%A7%D9%84%D8%AA%D8%B9%D9%84%D9%85-2026.pdf</x:v>
      </x:c>
      <x:c r="U150" t="str">
        <x:v>هيئة تقويم التعليم والتدريب – نواتج التعلم (صياغة أصلية)</x:v>
      </x:c>
    </x:row>
    <x:row r="151" ht="54" customHeight="1">
      <x:c r="A151" s="24" t="str">
        <x:v>PHY050</x:v>
      </x:c>
      <x:c r="B151" s="24" t="str">
        <x:v>فيزياء</x:v>
      </x:c>
      <x:c r="C151" s="24" t="str">
        <x:v>العلوم الفيزيائية</x:v>
      </x:c>
      <x:c r="D151" s="24" t="str">
        <x:v>الموجات والاهتزازات</x:v>
      </x:c>
      <x:c r="E151" s="24" t="str">
        <x:v>1-5-2-5-9 / 2-5-2-5-9</x:v>
      </x:c>
      <x:c r="F151" s="24" t="str">
        <x:v>تمييز الموجات الطولية والمستعرضة</x:v>
      </x:c>
      <x:c r="G151" s="24" t="str">
        <x:v>معرفة</x:v>
      </x:c>
      <x:c r="H151" s="24" t="str">
        <x:v>متوسط</x:v>
      </x:c>
      <x:c r="I151" s="24" t="str">
        <x:v>اختيار من متعدد</x:v>
      </x:c>
      <x:c r="J151" s="20" t="str">
        <x:v>في أي نوع من الموجات تهتز جسيمات الوسط موازية لاتجاه انتشار الموجة؟</x:v>
      </x:c>
      <x:c r="K151" s="20" t="str">
        <x:v>الطولية</x:v>
      </x:c>
      <x:c r="L151" s="20" t="str">
        <x:v>المستعرضة</x:v>
      </x:c>
      <x:c r="M151" s="20" t="str">
        <x:v>الضوئية فقط</x:v>
      </x:c>
      <x:c r="N151" s="20" t="str">
        <x:v>لا توجد موجات بهذا الوصف</x:v>
      </x:c>
      <x:c r="O151" s="20" t="str">
        <x:v>أ</x:v>
      </x:c>
      <x:c r="P151" s="20" t="str">
        <x:v>في الموجة الطولية يكون اهتزاز الجسيمات موازيًا لاتجاه الانتشار.</x:v>
      </x:c>
      <x:c r="Q151" s="24" t="str">
        <x:v>نصي</x:v>
      </x:c>
      <x:c r="R151" s="24"/>
      <x:c r="S151" s="24" t="str">
        <x:v>محاكي أصلي مستلهم من نمط نافس ومبني على ناتج تعلم رسمي</x:v>
      </x:c>
      <x:c r="T151" s="24" t="str">
        <x:v>https://media.etec.gov.sa/media/sszdnh2h/%D9%86%D9%88%D8%A7%D8%AA%D8%AC-%D8%A7%D9%84%D8%AA%D8%B9%D9%84%D9%85-2026.pdf</x:v>
      </x:c>
      <x:c r="U151" t="str">
        <x:v>هيئة تقويم التعليم والتدريب – نواتج التعلم (صياغة أصلية)</x:v>
      </x:c>
    </x:row>
    <x:row r="152" ht="54" customHeight="1">
      <x:c r="A152" s="26" t="str">
        <x:v>EARTH001</x:v>
      </x:c>
      <x:c r="B152" s="26" t="str">
        <x:v>علوم الأرض والفضاء</x:v>
      </x:c>
      <x:c r="C152" s="26" t="str">
        <x:v>علوم الأرض والفضاء</x:v>
      </x:c>
      <x:c r="D152" s="26" t="str">
        <x:v>الكون والنظام الشمسي</x:v>
      </x:c>
      <x:c r="E152" s="26" t="str">
        <x:v>1-1-3-5-9</x:v>
      </x:c>
      <x:c r="F152" s="26" t="str">
        <x:v>أدوات وتقنيات استكشاف الكون</x:v>
      </x:c>
      <x:c r="G152" s="26" t="str">
        <x:v>معرفة</x:v>
      </x:c>
      <x:c r="H152" s="26" t="str">
        <x:v>سهل</x:v>
      </x:c>
      <x:c r="I152" s="26" t="str">
        <x:v>اختيار من متعدد</x:v>
      </x:c>
      <x:c r="J152" s="20" t="str">
        <x:v>أي أداة تُستخدم أساسًا لجمع وتحليل الإشعاع القادم من أجرام سماوية بعيدة؟</x:v>
      </x:c>
      <x:c r="K152" s="20" t="str">
        <x:v>التلسكوب</x:v>
      </x:c>
      <x:c r="L152" s="20" t="str">
        <x:v>مقياس الزلازل</x:v>
      </x:c>
      <x:c r="M152" s="20" t="str">
        <x:v>البارومتر</x:v>
      </x:c>
      <x:c r="N152" s="20" t="str">
        <x:v>البوصلة</x:v>
      </x:c>
      <x:c r="O152" s="20" t="str">
        <x:v>أ</x:v>
      </x:c>
      <x:c r="P152" s="20" t="str">
        <x:v>التلسكوبات تجمع إشعاعًا من الأجرام السماوية وتساعد على دراستها.</x:v>
      </x:c>
      <x:c r="Q152" s="26" t="str">
        <x:v>نصي</x:v>
      </x:c>
      <x:c r="R152" s="26"/>
      <x:c r="S152" s="26" t="str">
        <x:v>دفعة أولى – محاكي أصلي مبني على ناتج تعلم رسمي</x:v>
      </x:c>
      <x:c r="T152" s="26" t="str">
        <x:v>https://media.etec.gov.sa/media/sszdnh2h/%D9%86%D9%88%D8%A7%D8%AA%D8%AC-%D8%A7%D9%84%D8%AA%D8%B9%D9%84%D9%85-2026.pdf</x:v>
      </x:c>
      <x:c r="U152" t="str">
        <x:v>هيئة تقويم التعليم والتدريب – نواتج التعلم (صياغة أصلية)</x:v>
      </x:c>
    </x:row>
    <x:row r="153" ht="54" customHeight="1">
      <x:c r="A153" s="26" t="str">
        <x:v>EARTH002</x:v>
      </x:c>
      <x:c r="B153" s="26" t="str">
        <x:v>علوم الأرض والفضاء</x:v>
      </x:c>
      <x:c r="C153" s="26" t="str">
        <x:v>علوم الأرض والفضاء</x:v>
      </x:c>
      <x:c r="D153" s="26" t="str">
        <x:v>الكون والنظام الشمسي</x:v>
      </x:c>
      <x:c r="E153" s="26" t="str">
        <x:v>1-1-3-5-9</x:v>
      </x:c>
      <x:c r="F153" s="26" t="str">
        <x:v>تحليل بيانات المسافات الكونية</x:v>
      </x:c>
      <x:c r="G153" s="26" t="str">
        <x:v>استدلال</x:v>
      </x:c>
      <x:c r="H153" s="26" t="str">
        <x:v>متوسط</x:v>
      </x:c>
      <x:c r="I153" s="26" t="str">
        <x:v>اختيار من متعدد</x:v>
      </x:c>
      <x:c r="J153" s="20" t="str">
        <x:v>يبين جدول أن مجرة (س) تبعد 2 مليون سنة ضوئية، ومجرة (ص) 6 ملايين، ومجرة (ع) 12 مليونًا. أي استنتاج صحيح؟</x:v>
      </x:c>
      <x:c r="K153" s="20" t="str">
        <x:v>المجرة ع هي الأقرب</x:v>
      </x:c>
      <x:c r="L153" s="20" t="str">
        <x:v>المجرة س هي الأقرب</x:v>
      </x:c>
      <x:c r="M153" s="20" t="str">
        <x:v>المسافات متساوية</x:v>
      </x:c>
      <x:c r="N153" s="20" t="str">
        <x:v>لا يمكن مقارنة المسافات بوحدة السنة الضوئية</x:v>
      </x:c>
      <x:c r="O153" s="20" t="str">
        <x:v>ب</x:v>
      </x:c>
      <x:c r="P153" s="20" t="str">
        <x:v>القيمة الأقل للمسافة تعني أن المجرة س هي الأقرب في الجدول.</x:v>
      </x:c>
      <x:c r="Q153" s="26" t="str">
        <x:v>جدول</x:v>
      </x:c>
      <x:c r="R153" s="26" t="str">
        <x:v>جدول بثلاث مجرات ومسافاتها بالسنوات الضوئية</x:v>
      </x:c>
      <x:c r="S153" s="26" t="str">
        <x:v>دفعة أولى – محاكي أصلي مبني على ناتج تعلم رسمي</x:v>
      </x:c>
      <x:c r="T153" s="26" t="str">
        <x:v>https://media.etec.gov.sa/media/sszdnh2h/%D9%86%D9%88%D8%A7%D8%AA%D8%AC-%D8%A7%D9%84%D8%AA%D8%B9%D9%84%D9%85-2026.pdf</x:v>
      </x:c>
      <x:c r="U153" t="str">
        <x:v>هيئة تقويم التعليم والتدريب – نواتج التعلم (صياغة أصلية)</x:v>
      </x:c>
    </x:row>
    <x:row r="154" ht="54" customHeight="1">
      <x:c r="A154" s="26" t="str">
        <x:v>EARTH003</x:v>
      </x:c>
      <x:c r="B154" s="26" t="str">
        <x:v>علوم الأرض والفضاء</x:v>
      </x:c>
      <x:c r="C154" s="26" t="str">
        <x:v>علوم الأرض والفضاء</x:v>
      </x:c>
      <x:c r="D154" s="26" t="str">
        <x:v>الكون والنظام الشمسي</x:v>
      </x:c>
      <x:c r="E154" s="26" t="str">
        <x:v>2-1-3-5-9</x:v>
      </x:c>
      <x:c r="F154" s="26" t="str">
        <x:v>استنتاج الظروف السائدة على الأجرام</x:v>
      </x:c>
      <x:c r="G154" s="26" t="str">
        <x:v>استدلال</x:v>
      </x:c>
      <x:c r="H154" s="26" t="str">
        <x:v>متوسط</x:v>
      </x:c>
      <x:c r="I154" s="26" t="str">
        <x:v>اختيار من متعدد</x:v>
      </x:c>
      <x:c r="J154" s="20" t="str">
        <x:v>كوكب غلافه الجوي كثيف جدًا ويحتجز الحرارة بكفاءة عالية. أي نتيجة متوقعة مقارنة بكوكب مشابه ذي غلاف أقل كثافة؟</x:v>
      </x:c>
      <x:c r="K154" s="20" t="str">
        <x:v>انخفاض احتجاز الحرارة دائمًا</x:v>
      </x:c>
      <x:c r="L154" s="20" t="str">
        <x:v>ارتفاع متوسط درجة الحرارة غالبًا</x:v>
      </x:c>
      <x:c r="M154" s="20" t="str">
        <x:v>اختفاء الجاذبية</x:v>
      </x:c>
      <x:c r="N154" s="20" t="str">
        <x:v>توقف دوران الكوكب</x:v>
      </x:c>
      <x:c r="O154" s="20" t="str">
        <x:v>ب</x:v>
      </x:c>
      <x:c r="P154" s="20" t="str">
        <x:v>زيادة احتجاز الإشعاع الحراري في الغلاف الجوي يمكن أن ترفع متوسط درجة الحرارة.</x:v>
      </x:c>
      <x:c r="Q154" s="26" t="str">
        <x:v>نصي</x:v>
      </x:c>
      <x:c r="R154" s="26"/>
      <x:c r="S154" s="26" t="str">
        <x:v>دفعة أولى – محاكي أصلي مبني على ناتج تعلم رسمي</x:v>
      </x:c>
      <x:c r="T154" s="26" t="str">
        <x:v>https://media.etec.gov.sa/media/sszdnh2h/%D9%86%D9%88%D8%A7%D8%AA%D8%AC-%D8%A7%D9%84%D8%AA%D8%B9%D9%84%D9%85-2026.pdf</x:v>
      </x:c>
      <x:c r="U154" t="str">
        <x:v>هيئة تقويم التعليم والتدريب – نواتج التعلم (صياغة أصلية)</x:v>
      </x:c>
    </x:row>
    <x:row r="155" ht="54" customHeight="1">
      <x:c r="A155" s="26" t="str">
        <x:v>EARTH004</x:v>
      </x:c>
      <x:c r="B155" s="26" t="str">
        <x:v>علوم الأرض والفضاء</x:v>
      </x:c>
      <x:c r="C155" s="26" t="str">
        <x:v>علوم الأرض والفضاء</x:v>
      </x:c>
      <x:c r="D155" s="26" t="str">
        <x:v>النظام الأرضي</x:v>
      </x:c>
      <x:c r="E155" s="26" t="str">
        <x:v>1-2-3-5-9</x:v>
      </x:c>
      <x:c r="F155" s="26" t="str">
        <x:v>تحليل التغيرات المناخية واحتباس الحرارة</x:v>
      </x:c>
      <x:c r="G155" s="26" t="str">
        <x:v>استدلال</x:v>
      </x:c>
      <x:c r="H155" s="26" t="str">
        <x:v>صعب</x:v>
      </x:c>
      <x:c r="I155" s="26" t="str">
        <x:v>اختيار من متعدد</x:v>
      </x:c>
      <x:c r="J155" s="20" t="str">
        <x:v>أظهرت بيانات مدينة ارتفاع متوسط درجة الحرارة تدريجيًا خلال 30 سنة مع زيادة تركيز غاز يحتجز الحرارة في الغلاف الجوي. ما الاستنتاج العلمي الأكثر حذرًا؟</x:v>
      </x:c>
      <x:c r="K155" s="20" t="str">
        <x:v>الغاز هو السبب الوحيد المؤكد</x:v>
      </x:c>
      <x:c r="L155" s="20" t="str">
        <x:v>توجد علاقة تستحق الدراسة بين زيادة الغاز وارتفاع الحرارة</x:v>
      </x:c>
      <x:c r="M155" s="20" t="str">
        <x:v>لا توجد أي علاقة ممكنة</x:v>
      </x:c>
      <x:c r="N155" s="20" t="str">
        <x:v>البيانات تثبت أن الحرارة ستنخفض مستقبلًا</x:v>
      </x:c>
      <x:c r="O155" s="20" t="str">
        <x:v>ب</x:v>
      </x:c>
      <x:c r="P155" s="20" t="str">
        <x:v>البيانات تشير إلى علاقة محتملة، لكن إثبات السبب يتطلب فحص عوامل وأدلة إضافية.</x:v>
      </x:c>
      <x:c r="Q155" s="26" t="str">
        <x:v>رسم بياني</x:v>
      </x:c>
      <x:c r="R155" s="26" t="str">
        <x:v>رسم خطي مزدوج يوضح تغير متوسط الحرارة وتركيز غاز دفيء عبر 30 سنة</x:v>
      </x:c>
      <x:c r="S155" s="26" t="str">
        <x:v>دفعة أولى – محاكي أصلي مبني على ناتج تعلم رسمي</x:v>
      </x:c>
      <x:c r="T155" s="26" t="str">
        <x:v>https://media.etec.gov.sa/media/sszdnh2h/%D9%86%D9%88%D8%A7%D8%AA%D8%AC-%D8%A7%D9%84%D8%AA%D8%B9%D9%84%D9%85-2026.pdf</x:v>
      </x:c>
      <x:c r="U155" t="str">
        <x:v>هيئة تقويم التعليم والتدريب – نواتج التعلم (صياغة أصلية)</x:v>
      </x:c>
    </x:row>
    <x:row r="156" ht="54" customHeight="1">
      <x:c r="A156" s="26" t="str">
        <x:v>EARTH005</x:v>
      </x:c>
      <x:c r="B156" s="26" t="str">
        <x:v>علوم الأرض والفضاء</x:v>
      </x:c>
      <x:c r="C156" s="26" t="str">
        <x:v>علوم الأرض والفضاء</x:v>
      </x:c>
      <x:c r="D156" s="26" t="str">
        <x:v>النظام الأرضي</x:v>
      </x:c>
      <x:c r="E156" s="26" t="str">
        <x:v>2-2-3-5-9</x:v>
      </x:c>
      <x:c r="F156" s="26" t="str">
        <x:v>دورة الكربون بين أغلفة الأرض</x:v>
      </x:c>
      <x:c r="G156" s="26" t="str">
        <x:v>تطبيق</x:v>
      </x:c>
      <x:c r="H156" s="26" t="str">
        <x:v>متوسط</x:v>
      </x:c>
      <x:c r="I156" s="26" t="str">
        <x:v>اختيار من متعدد</x:v>
      </x:c>
      <x:c r="J156" s="20" t="str">
        <x:v>أي عملية تنقل الكربون من الغلاف الجوي إلى الكتلة الحيوية النباتية؟</x:v>
      </x:c>
      <x:c r="K156" s="20" t="str">
        <x:v>التنفس</x:v>
      </x:c>
      <x:c r="L156" s="20" t="str">
        <x:v>البناء الضوئي</x:v>
      </x:c>
      <x:c r="M156" s="20" t="str">
        <x:v>الاحتراق</x:v>
      </x:c>
      <x:c r="N156" s="20" t="str">
        <x:v>التحلل فقط</x:v>
      </x:c>
      <x:c r="O156" s="20" t="str">
        <x:v>ب</x:v>
      </x:c>
      <x:c r="P156" s="20" t="str">
        <x:v>في البناء الضوئي تمتص النباتات ثاني أكسيد الكربون وتدمج الكربون في مواد عضوية.</x:v>
      </x:c>
      <x:c r="Q156" s="26" t="str">
        <x:v>نصي</x:v>
      </x:c>
      <x:c r="R156" s="26"/>
      <x:c r="S156" s="26" t="str">
        <x:v>دفعة أولى – محاكي أصلي مبني على ناتج تعلم رسمي</x:v>
      </x:c>
      <x:c r="T156" s="26" t="str">
        <x:v>https://media.etec.gov.sa/media/sszdnh2h/%D9%86%D9%88%D8%A7%D8%AA%D8%AC-%D8%A7%D9%84%D8%AA%D8%B9%D9%84%D9%85-2026.pdf</x:v>
      </x:c>
      <x:c r="U156" t="str">
        <x:v>هيئة تقويم التعليم والتدريب – نواتج التعلم (صياغة أصلية)</x:v>
      </x:c>
    </x:row>
    <x:row r="157" ht="54" customHeight="1">
      <x:c r="A157" s="26" t="str">
        <x:v>EARTH006</x:v>
      </x:c>
      <x:c r="B157" s="26" t="str">
        <x:v>علوم الأرض والفضاء</x:v>
      </x:c>
      <x:c r="C157" s="26" t="str">
        <x:v>علوم الأرض والفضاء</x:v>
      </x:c>
      <x:c r="D157" s="26" t="str">
        <x:v>النظام الأرضي</x:v>
      </x:c>
      <x:c r="E157" s="26" t="str">
        <x:v>3-2-3-5-9</x:v>
      </x:c>
      <x:c r="F157" s="26" t="str">
        <x:v>الدورات الطبيعية وتأثيرها في البيئة</x:v>
      </x:c>
      <x:c r="G157" s="26" t="str">
        <x:v>تطبيق</x:v>
      </x:c>
      <x:c r="H157" s="26" t="str">
        <x:v>متوسط</x:v>
      </x:c>
      <x:c r="I157" s="26" t="str">
        <x:v>اختيار من متعدد</x:v>
      </x:c>
      <x:c r="J157" s="20" t="str">
        <x:v>بعد هطول الأمطار تسرب جزء من الماء إلى التربة ثم عاد إلى السطح عبر الينابيع. أي دورة طبيعية يصفها هذا المثال؟</x:v>
      </x:c>
      <x:c r="K157" s="20" t="str">
        <x:v>دورة الماء</x:v>
      </x:c>
      <x:c r="L157" s="20" t="str">
        <x:v>دورة الصخور</x:v>
      </x:c>
      <x:c r="M157" s="20" t="str">
        <x:v>دورة حياة النجم</x:v>
      </x:c>
      <x:c r="N157" s="20" t="str">
        <x:v>دورة التيار الكهربائي</x:v>
      </x:c>
      <x:c r="O157" s="20" t="str">
        <x:v>أ</x:v>
      </x:c>
      <x:c r="P157" s="20" t="str">
        <x:v>التسرب والجريان والمياه الجوفية مراحل من دورة الماء.</x:v>
      </x:c>
      <x:c r="Q157" s="26" t="str">
        <x:v>نصي</x:v>
      </x:c>
      <x:c r="R157" s="26"/>
      <x:c r="S157" s="26" t="str">
        <x:v>دفعة أولى – محاكي أصلي مبني على ناتج تعلم رسمي</x:v>
      </x:c>
      <x:c r="T157" s="26" t="str">
        <x:v>https://media.etec.gov.sa/media/sszdnh2h/%D9%86%D9%88%D8%A7%D8%AA%D8%AC-%D8%A7%D9%84%D8%AA%D8%B9%D9%84%D9%85-2026.pdf</x:v>
      </x:c>
      <x:c r="U157" t="str">
        <x:v>هيئة تقويم التعليم والتدريب – نواتج التعلم (صياغة أصلية)</x:v>
      </x:c>
    </x:row>
    <x:row r="158" ht="54" customHeight="1">
      <x:c r="A158" s="26" t="str">
        <x:v>EARTH007</x:v>
      </x:c>
      <x:c r="B158" s="26" t="str">
        <x:v>علوم الأرض والفضاء</x:v>
      </x:c>
      <x:c r="C158" s="26" t="str">
        <x:v>علوم الأرض والفضاء</x:v>
      </x:c>
      <x:c r="D158" s="26" t="str">
        <x:v>النظام الأرضي</x:v>
      </x:c>
      <x:c r="E158" s="26" t="str">
        <x:v>4-2-3-5-9</x:v>
      </x:c>
      <x:c r="F158" s="26" t="str">
        <x:v>تمييز المعادن من خصائصها</x:v>
      </x:c>
      <x:c r="G158" s="26" t="str">
        <x:v>تطبيق</x:v>
      </x:c>
      <x:c r="H158" s="26" t="str">
        <x:v>متوسط</x:v>
      </x:c>
      <x:c r="I158" s="26" t="str">
        <x:v>اختيار من متعدد</x:v>
      </x:c>
      <x:c r="J158" s="20" t="str">
        <x:v>معدن يخدش الزجاج ولا يُخدش بسهولة بقطعة نقدية. أي خاصية استُخدمت أساسًا في التعرف عليه؟</x:v>
      </x:c>
      <x:c r="K158" s="20" t="str">
        <x:v>اللون</x:v>
      </x:c>
      <x:c r="L158" s="20" t="str">
        <x:v>القساوة</x:v>
      </x:c>
      <x:c r="M158" s="20" t="str">
        <x:v>المخدش</x:v>
      </x:c>
      <x:c r="N158" s="20" t="str">
        <x:v>الكثافة</x:v>
      </x:c>
      <x:c r="O158" s="20" t="str">
        <x:v>ب</x:v>
      </x:c>
      <x:c r="P158" s="20" t="str">
        <x:v>اختبار الخدش يقيس القساوة النسبية للمعدن.</x:v>
      </x:c>
      <x:c r="Q158" s="26" t="str">
        <x:v>نصي</x:v>
      </x:c>
      <x:c r="R158" s="26"/>
      <x:c r="S158" s="26" t="str">
        <x:v>دفعة أولى – محاكي أصلي مبني على ناتج تعلم رسمي</x:v>
      </x:c>
      <x:c r="T158" s="26" t="str">
        <x:v>https://media.etec.gov.sa/media/sszdnh2h/%D9%86%D9%88%D8%A7%D8%AA%D8%AC-%D8%A7%D9%84%D8%AA%D8%B9%D9%84%D9%85-2026.pdf</x:v>
      </x:c>
      <x:c r="U158" t="str">
        <x:v>هيئة تقويم التعليم والتدريب – نواتج التعلم (صياغة أصلية)</x:v>
      </x:c>
    </x:row>
    <x:row r="159" ht="54" customHeight="1">
      <x:c r="A159" s="26" t="str">
        <x:v>EARTH008</x:v>
      </x:c>
      <x:c r="B159" s="26" t="str">
        <x:v>علوم الأرض والفضاء</x:v>
      </x:c>
      <x:c r="C159" s="26" t="str">
        <x:v>علوم الأرض والفضاء</x:v>
      </x:c>
      <x:c r="D159" s="26" t="str">
        <x:v>النظام الأرضي</x:v>
      </x:c>
      <x:c r="E159" s="26" t="str">
        <x:v>5-2-3-5-9</x:v>
      </x:c>
      <x:c r="F159" s="26" t="str">
        <x:v>تصنيف الصخور النارية حسب موقع التبريد</x:v>
      </x:c>
      <x:c r="G159" s="26" t="str">
        <x:v>تطبيق</x:v>
      </x:c>
      <x:c r="H159" s="26" t="str">
        <x:v>متوسط</x:v>
      </x:c>
      <x:c r="I159" s="26" t="str">
        <x:v>اختيار من متعدد</x:v>
      </x:c>
      <x:c r="J159" s="20" t="str">
        <x:v>صخر ناري ذو بلورات كبيرة تكوّن من تبريد الصهارة ببطء تحت سطح الأرض. كيف يصنف؟</x:v>
      </x:c>
      <x:c r="K159" s="20" t="str">
        <x:v>ناري جوفي</x:v>
      </x:c>
      <x:c r="L159" s="20" t="str">
        <x:v>ناري سطحي</x:v>
      </x:c>
      <x:c r="M159" s="20" t="str">
        <x:v>رسوبي فتاتي</x:v>
      </x:c>
      <x:c r="N159" s="20" t="str">
        <x:v>متحول متورق</x:v>
      </x:c>
      <x:c r="O159" s="20" t="str">
        <x:v>أ</x:v>
      </x:c>
      <x:c r="P159" s="20" t="str">
        <x:v>التبريد البطيء تحت السطح يسمح بنمو بلورات كبيرة ويكوّن صخورًا نارية جوفية.</x:v>
      </x:c>
      <x:c r="Q159" s="26" t="str">
        <x:v>صورة</x:v>
      </x:c>
      <x:c r="R159" s="26" t="str">
        <x:v>صورتان لصخر ناري خشن الحبيبات وآخر دقيق الحبيبات للمقارنة</x:v>
      </x:c>
      <x:c r="S159" s="26" t="str">
        <x:v>دفعة أولى – محاكي أصلي مبني على ناتج تعلم رسمي</x:v>
      </x:c>
      <x:c r="T159" s="26" t="str">
        <x:v>https://media.etec.gov.sa/media/sszdnh2h/%D9%86%D9%88%D8%A7%D8%AA%D8%AC-%D8%A7%D9%84%D8%AA%D8%B9%D9%84%D9%85-2026.pdf</x:v>
      </x:c>
      <x:c r="U159" t="str">
        <x:v>هيئة تقويم التعليم والتدريب – نواتج التعلم (صياغة أصلية)</x:v>
      </x:c>
    </x:row>
    <x:row r="160" ht="54" customHeight="1">
      <x:c r="A160" s="26" t="str">
        <x:v>EARTH009</x:v>
      </x:c>
      <x:c r="B160" s="26" t="str">
        <x:v>علوم الأرض والفضاء</x:v>
      </x:c>
      <x:c r="C160" s="26" t="str">
        <x:v>علوم الأرض والفضاء</x:v>
      </x:c>
      <x:c r="D160" s="26" t="str">
        <x:v>النظام الأرضي</x:v>
      </x:c>
      <x:c r="E160" s="26" t="str">
        <x:v>5-2-3-5-9</x:v>
      </x:c>
      <x:c r="F160" s="26" t="str">
        <x:v>تمييز الصخور الرسوبية</x:v>
      </x:c>
      <x:c r="G160" s="26" t="str">
        <x:v>استدلال</x:v>
      </x:c>
      <x:c r="H160" s="26" t="str">
        <x:v>متوسط</x:v>
      </x:c>
      <x:c r="I160" s="26" t="str">
        <x:v>اختيار من متعدد</x:v>
      </x:c>
      <x:c r="J160" s="20" t="str">
        <x:v>أي دليل ميداني يدعم أكثر أن صخرًا ما رسوبي الأصل؟</x:v>
      </x:c>
      <x:c r="K160" s="20" t="str">
        <x:v>وجود طبقات واضحة وبقايا أحافير</x:v>
      </x:c>
      <x:c r="L160" s="20" t="str">
        <x:v>وجود بلورات كبيرة متداخلة فقط</x:v>
      </x:c>
      <x:c r="M160" s="20" t="str">
        <x:v>وجود نسيج زجاجي دائمًا</x:v>
      </x:c>
      <x:c r="N160" s="20" t="str">
        <x:v>تكونه من صهارة منصهرة</x:v>
      </x:c>
      <x:c r="O160" s="20" t="str">
        <x:v>أ</x:v>
      </x:c>
      <x:c r="P160" s="20" t="str">
        <x:v>الطبقات والأحافير من السمات الشائعة في كثير من الصخور الرسوبية.</x:v>
      </x:c>
      <x:c r="Q160" s="26" t="str">
        <x:v>صورة</x:v>
      </x:c>
      <x:c r="R160" s="26" t="str">
        <x:v>مقطع صخري رسوبي يظهر طبقات وأثر أحفورة مبسطة</x:v>
      </x:c>
      <x:c r="S160" s="26" t="str">
        <x:v>دفعة أولى – محاكي أصلي مبني على ناتج تعلم رسمي</x:v>
      </x:c>
      <x:c r="T160" s="26" t="str">
        <x:v>https://media.etec.gov.sa/media/sszdnh2h/%D9%86%D9%88%D8%A7%D8%AA%D8%AC-%D8%A7%D9%84%D8%AA%D8%B9%D9%84%D9%85-2026.pdf</x:v>
      </x:c>
      <x:c r="U160" t="str">
        <x:v>هيئة تقويم التعليم والتدريب – نواتج التعلم (صياغة أصلية)</x:v>
      </x:c>
    </x:row>
    <x:row r="161" ht="54" customHeight="1">
      <x:c r="A161" s="26" t="str">
        <x:v>EARTH010</x:v>
      </x:c>
      <x:c r="B161" s="26" t="str">
        <x:v>علوم الأرض والفضاء</x:v>
      </x:c>
      <x:c r="C161" s="26" t="str">
        <x:v>علوم الأرض والفضاء</x:v>
      </x:c>
      <x:c r="D161" s="26" t="str">
        <x:v>النظام الأرضي</x:v>
      </x:c>
      <x:c r="E161" s="26" t="str">
        <x:v>5-2-3-5-9</x:v>
      </x:c>
      <x:c r="F161" s="26" t="str">
        <x:v>تفسير دورة الصخور</x:v>
      </x:c>
      <x:c r="G161" s="26" t="str">
        <x:v>استدلال</x:v>
      </x:c>
      <x:c r="H161" s="26" t="str">
        <x:v>متوسط</x:v>
      </x:c>
      <x:c r="I161" s="26" t="str">
        <x:v>اختيار من متعدد</x:v>
      </x:c>
      <x:c r="J161" s="20" t="str">
        <x:v>إذا تعرض صخر رسوبي لحرارة وضغط مرتفعين دون أن ينصهر، فما النوع المتوقع أن يتحول إليه؟</x:v>
      </x:c>
      <x:c r="K161" s="20" t="str">
        <x:v>صخر متحول</x:v>
      </x:c>
      <x:c r="L161" s="20" t="str">
        <x:v>صخر ناري مباشرة</x:v>
      </x:c>
      <x:c r="M161" s="20" t="str">
        <x:v>معدن منفرد</x:v>
      </x:c>
      <x:c r="N161" s="20" t="str">
        <x:v>رواسب مفككة</x:v>
      </x:c>
      <x:c r="O161" s="20" t="str">
        <x:v>أ</x:v>
      </x:c>
      <x:c r="P161" s="20" t="str">
        <x:v>الحرارة والضغط دون انصهار يحولان الصخور إلى صخور متحولة.</x:v>
      </x:c>
      <x:c r="Q161" s="26" t="str">
        <x:v>رسم</x:v>
      </x:c>
      <x:c r="R161" s="26" t="str">
        <x:v>مخطط مبسط لدورة الصخور بأسهم بين الناري والرسوبي والمتحول</x:v>
      </x:c>
      <x:c r="S161" s="26" t="str">
        <x:v>دفعة أولى – محاكي أصلي مبني على ناتج تعلم رسمي</x:v>
      </x:c>
      <x:c r="T161" s="26" t="str">
        <x:v>https://media.etec.gov.sa/media/sszdnh2h/%D9%86%D9%88%D8%A7%D8%AA%D8%AC-%D8%A7%D9%84%D8%AA%D8%B9%D9%84%D9%85-2026.pdf</x:v>
      </x:c>
      <x:c r="U161" t="str">
        <x:v>هيئة تقويم التعليم والتدريب – نواتج التعلم (صياغة أصلية)</x:v>
      </x:c>
    </x:row>
    <x:row r="162" ht="54" customHeight="1">
      <x:c r="A162" s="26" t="str">
        <x:v>EARTH011</x:v>
      </x:c>
      <x:c r="B162" s="26" t="str">
        <x:v>علوم الأرض والفضاء</x:v>
      </x:c>
      <x:c r="C162" s="26" t="str">
        <x:v>علوم الأرض والفضاء</x:v>
      </x:c>
      <x:c r="D162" s="26" t="str">
        <x:v>النظام الأرضي</x:v>
      </x:c>
      <x:c r="E162" s="26" t="str">
        <x:v>6-2-3-5-9</x:v>
      </x:c>
      <x:c r="F162" s="26" t="str">
        <x:v>تمييز أنواع الصدوع</x:v>
      </x:c>
      <x:c r="G162" s="26" t="str">
        <x:v>تطبيق</x:v>
      </x:c>
      <x:c r="H162" s="26" t="str">
        <x:v>متوسط</x:v>
      </x:c>
      <x:c r="I162" s="26" t="str">
        <x:v>اختيار من متعدد</x:v>
      </x:c>
      <x:c r="J162" s="20" t="str">
        <x:v>يوضح الرسم تحرك كتلتين صخريتين أفقيًا بمحاذاة بعضهما في اتجاهين متعاكسين. ما نوع الصدع؟</x:v>
      </x:c>
      <x:c r="K162" s="20" t="str">
        <x:v>عادي</x:v>
      </x:c>
      <x:c r="L162" s="20" t="str">
        <x:v>عكسي</x:v>
      </x:c>
      <x:c r="M162" s="20" t="str">
        <x:v>جانبي (انزلاقي)</x:v>
      </x:c>
      <x:c r="N162" s="20" t="str">
        <x:v>قبة ملحية</x:v>
      </x:c>
      <x:c r="O162" s="20" t="str">
        <x:v>ج</x:v>
      </x:c>
      <x:c r="P162" s="20" t="str">
        <x:v>الحركة الأفقية المتعاكسة على جانبي الكسر تميز الصدع الجانبي أو الانزلاقي.</x:v>
      </x:c>
      <x:c r="Q162" s="26" t="str">
        <x:v>صورة</x:v>
      </x:c>
      <x:c r="R162" s="26" t="str">
        <x:v>رسم كتلتين صخريتين مع سهمين أفقيين متعاكسين على جانبي صدع</x:v>
      </x:c>
      <x:c r="S162" s="26" t="str">
        <x:v>دفعة أولى – محاكي أصلي مبني على ناتج تعلم رسمي</x:v>
      </x:c>
      <x:c r="T162" s="26" t="str">
        <x:v>https://media.etec.gov.sa/media/sszdnh2h/%D9%86%D9%88%D8%A7%D8%AA%D8%AC-%D8%A7%D9%84%D8%AA%D8%B9%D9%84%D9%85-2026.pdf</x:v>
      </x:c>
      <x:c r="U162" t="str">
        <x:v>هيئة تقويم التعليم والتدريب – نواتج التعلم (صياغة أصلية)</x:v>
      </x:c>
    </x:row>
    <x:row r="163" ht="54" customHeight="1">
      <x:c r="A163" s="26" t="str">
        <x:v>EARTH012</x:v>
      </x:c>
      <x:c r="B163" s="26" t="str">
        <x:v>علوم الأرض والفضاء</x:v>
      </x:c>
      <x:c r="C163" s="26" t="str">
        <x:v>علوم الأرض والفضاء</x:v>
      </x:c>
      <x:c r="D163" s="26" t="str">
        <x:v>النظام الأرضي</x:v>
      </x:c>
      <x:c r="E163" s="26" t="str">
        <x:v>6-2-3-5-9</x:v>
      </x:c>
      <x:c r="F163" s="26" t="str">
        <x:v>تمييز بؤرة الزلزال والمركز السطحي</x:v>
      </x:c>
      <x:c r="G163" s="26" t="str">
        <x:v>تطبيق</x:v>
      </x:c>
      <x:c r="H163" s="26" t="str">
        <x:v>متوسط</x:v>
      </x:c>
      <x:c r="I163" s="26" t="str">
        <x:v>اختيار من متعدد</x:v>
      </x:c>
      <x:c r="J163" s="20" t="str">
        <x:v>في رسم مقطع للأرض، توجد نقطة (أ) داخل القشرة بدأ عندها الكسر، ونقطة (ب) على السطح فوقها مباشرة. ماذا تمثل النقطة (ب)؟</x:v>
      </x:c>
      <x:c r="K163" s="20" t="str">
        <x:v>بؤرة الزلزال</x:v>
      </x:c>
      <x:c r="L163" s="20" t="str">
        <x:v>المركز السطحي للزلزال</x:v>
      </x:c>
      <x:c r="M163" s="20" t="str">
        <x:v>حد صفيحة دائمًا</x:v>
      </x:c>
      <x:c r="N163" s="20" t="str">
        <x:v>فوهة بركان</x:v>
      </x:c>
      <x:c r="O163" s="20" t="str">
        <x:v>ب</x:v>
      </x:c>
      <x:c r="P163" s="20" t="str">
        <x:v>المركز السطحي هو النقطة على سطح الأرض الواقعة مباشرة فوق البؤرة.</x:v>
      </x:c>
      <x:c r="Q163" s="26" t="str">
        <x:v>صورة</x:v>
      </x:c>
      <x:c r="R163" s="26" t="str">
        <x:v>مقطع مبسط للأرض مع بؤرة داخلية ونقطة فوقها على السطح</x:v>
      </x:c>
      <x:c r="S163" s="26" t="str">
        <x:v>دفعة أولى – محاكي أصلي مبني على ناتج تعلم رسمي</x:v>
      </x:c>
      <x:c r="T163" s="26" t="str">
        <x:v>https://media.etec.gov.sa/media/sszdnh2h/%D9%86%D9%88%D8%A7%D8%AA%D8%AC-%D8%A7%D9%84%D8%AA%D8%B9%D9%84%D9%85-2026.pdf</x:v>
      </x:c>
      <x:c r="U163" t="str">
        <x:v>هيئة تقويم التعليم والتدريب – نواتج التعلم (صياغة أصلية)</x:v>
      </x:c>
    </x:row>
    <x:row r="164" ht="54" customHeight="1">
      <x:c r="A164" s="26" t="str">
        <x:v>EARTH013</x:v>
      </x:c>
      <x:c r="B164" s="26" t="str">
        <x:v>علوم الأرض والفضاء</x:v>
      </x:c>
      <x:c r="C164" s="26" t="str">
        <x:v>علوم الأرض والفضاء</x:v>
      </x:c>
      <x:c r="D164" s="26" t="str">
        <x:v>النظام الأرضي</x:v>
      </x:c>
      <x:c r="E164" s="26" t="str">
        <x:v>6-2-3-5-9</x:v>
      </x:c>
      <x:c r="F164" s="26" t="str">
        <x:v>خصائص الموجات الزلزالية</x:v>
      </x:c>
      <x:c r="G164" s="26" t="str">
        <x:v>استدلال</x:v>
      </x:c>
      <x:c r="H164" s="26" t="str">
        <x:v>متوسط</x:v>
      </x:c>
      <x:c r="I164" s="26" t="str">
        <x:v>اختيار من متعدد</x:v>
      </x:c>
      <x:c r="J164" s="20" t="str">
        <x:v>سجلت محطة زلزالية وصول موجات أولية ثم موجات ثانوية بعد زمن قصير. ما الاستنتاج الصحيح؟</x:v>
      </x:c>
      <x:c r="K164" s="20" t="str">
        <x:v>الموجات الثانوية أسرع دائمًا</x:v>
      </x:c>
      <x:c r="L164" s="20" t="str">
        <x:v>الموجات الأولية وصلت أولًا لأنها أسرع</x:v>
      </x:c>
      <x:c r="M164" s="20" t="str">
        <x:v>لا تنتقل الموجات الأولية في الصخور</x:v>
      </x:c>
      <x:c r="N164" s="20" t="str">
        <x:v>الموجات الثانوية هي سبب البركان</x:v>
      </x:c>
      <x:c r="O164" s="20" t="str">
        <x:v>ب</x:v>
      </x:c>
      <x:c r="P164" s="20" t="str">
        <x:v>الموجات الأولية P أسرع من الموجات الثانوية S ولذلك تصل قبلها إلى محطة الرصد.</x:v>
      </x:c>
      <x:c r="Q164" s="26" t="str">
        <x:v>رسم بياني</x:v>
      </x:c>
      <x:c r="R164" s="26" t="str">
        <x:v>مخطط زمني بسيط لوصول موجة P ثم S إلى محطة رصد</x:v>
      </x:c>
      <x:c r="S164" s="26" t="str">
        <x:v>دفعة أولى – محاكي أصلي مبني على ناتج تعلم رسمي</x:v>
      </x:c>
      <x:c r="T164" s="26" t="str">
        <x:v>https://media.etec.gov.sa/media/sszdnh2h/%D9%86%D9%88%D8%A7%D8%AA%D8%AC-%D8%A7%D9%84%D8%AA%D8%B9%D9%84%D9%85-2026.pdf</x:v>
      </x:c>
      <x:c r="U164" t="str">
        <x:v>هيئة تقويم التعليم والتدريب – نواتج التعلم (صياغة أصلية)</x:v>
      </x:c>
    </x:row>
    <x:row r="165" ht="54" customHeight="1">
      <x:c r="A165" s="26" t="str">
        <x:v>EARTH014</x:v>
      </x:c>
      <x:c r="B165" s="26" t="str">
        <x:v>علوم الأرض والفضاء</x:v>
      </x:c>
      <x:c r="C165" s="26" t="str">
        <x:v>علوم الأرض والفضاء</x:v>
      </x:c>
      <x:c r="D165" s="26" t="str">
        <x:v>النظام الأرضي</x:v>
      </x:c>
      <x:c r="E165" s="26" t="str">
        <x:v>6-2-3-5-9</x:v>
      </x:c>
      <x:c r="F165" s="26" t="str">
        <x:v>تمييز أشكال البراكين</x:v>
      </x:c>
      <x:c r="G165" s="26" t="str">
        <x:v>تطبيق</x:v>
      </x:c>
      <x:c r="H165" s="26" t="str">
        <x:v>متوسط</x:v>
      </x:c>
      <x:c r="I165" s="26" t="str">
        <x:v>اختيار من متعدد</x:v>
      </x:c>
      <x:c r="J165" s="20" t="str">
        <x:v>بركان واسع قليل الانحدار تكون من تدفقات لابة سائلة متكررة. أي نوع هو الأقرب؟</x:v>
      </x:c>
      <x:c r="K165" s="20" t="str">
        <x:v>درعي</x:v>
      </x:c>
      <x:c r="L165" s="20" t="str">
        <x:v>مخروطي رمادي</x:v>
      </x:c>
      <x:c r="M165" s="20" t="str">
        <x:v>مركب شديد الانحدار</x:v>
      </x:c>
      <x:c r="N165" s="20" t="str">
        <x:v>صدع عكسي</x:v>
      </x:c>
      <x:c r="O165" s="20" t="str">
        <x:v>أ</x:v>
      </x:c>
      <x:c r="P165" s="20" t="str">
        <x:v>البراكين الدرعية عريضة قليلة الانحدار وتتكون غالبًا من لابات منخفضة اللزوجة.</x:v>
      </x:c>
      <x:c r="Q165" s="26" t="str">
        <x:v>صورة</x:v>
      </x:c>
      <x:c r="R165" s="26" t="str">
        <x:v>ثلاثة أشكال مبسطة: درعي، مخروطي، مركب</x:v>
      </x:c>
      <x:c r="S165" s="26" t="str">
        <x:v>دفعة أولى – محاكي أصلي مبني على ناتج تعلم رسمي</x:v>
      </x:c>
      <x:c r="T165" s="26" t="str">
        <x:v>https://media.etec.gov.sa/media/sszdnh2h/%D9%86%D9%88%D8%A7%D8%AA%D8%AC-%D8%A7%D9%84%D8%AA%D8%B9%D9%84%D9%85-2026.pdf</x:v>
      </x:c>
      <x:c r="U165" t="str">
        <x:v>هيئة تقويم التعليم والتدريب – نواتج التعلم (صياغة أصلية)</x:v>
      </x:c>
    </x:row>
    <x:row r="166" ht="54" customHeight="1">
      <x:c r="A166" s="26" t="str">
        <x:v>EARTH015</x:v>
      </x:c>
      <x:c r="B166" s="26" t="str">
        <x:v>علوم الأرض والفضاء</x:v>
      </x:c>
      <x:c r="C166" s="26" t="str">
        <x:v>علوم الأرض والفضاء</x:v>
      </x:c>
      <x:c r="D166" s="26" t="str">
        <x:v>النظام الأرضي</x:v>
      </x:c>
      <x:c r="E166" s="26" t="str">
        <x:v>7-2-3-5-9</x:v>
      </x:c>
      <x:c r="F166" s="26" t="str">
        <x:v>تمييز حدود الصفائح</x:v>
      </x:c>
      <x:c r="G166" s="26" t="str">
        <x:v>تطبيق</x:v>
      </x:c>
      <x:c r="H166" s="26" t="str">
        <x:v>متوسط</x:v>
      </x:c>
      <x:c r="I166" s="26" t="str">
        <x:v>اختيار من متعدد</x:v>
      </x:c>
      <x:c r="J166" s="20" t="str">
        <x:v>أي نوع من حدود الصفائح يتكون عندما تتحرك صفيحتان مبتعدتين إحداهما عن الأخرى؟</x:v>
      </x:c>
      <x:c r="K166" s="20" t="str">
        <x:v>تقاربية</x:v>
      </x:c>
      <x:c r="L166" s="20" t="str">
        <x:v>تباعدية</x:v>
      </x:c>
      <x:c r="M166" s="20" t="str">
        <x:v>تحويلية</x:v>
      </x:c>
      <x:c r="N166" s="20" t="str">
        <x:v>ثابتة</x:v>
      </x:c>
      <x:c r="O166" s="20" t="str">
        <x:v>ب</x:v>
      </x:c>
      <x:c r="P166" s="20" t="str">
        <x:v>في الحدود التباعدية تتحرك الصفائح بعيدًا عن بعضها.</x:v>
      </x:c>
      <x:c r="Q166" s="26" t="str">
        <x:v>نصي</x:v>
      </x:c>
      <x:c r="R166" s="26"/>
      <x:c r="S166" s="26" t="str">
        <x:v>دفعة أولى – محاكي أصلي مبني على ناتج تعلم رسمي</x:v>
      </x:c>
      <x:c r="T166" s="26" t="str">
        <x:v>https://media.etec.gov.sa/media/sszdnh2h/%D9%86%D9%88%D8%A7%D8%AA%D8%AC-%D8%A7%D9%84%D8%AA%D8%B9%D9%84%D9%85-2026.pdf</x:v>
      </x:c>
      <x:c r="U166" t="str">
        <x:v>هيئة تقويم التعليم والتدريب – نواتج التعلم (صياغة أصلية)</x:v>
      </x:c>
    </x:row>
    <x:row r="167" ht="54" customHeight="1">
      <x:c r="A167" s="26" t="str">
        <x:v>EARTH016</x:v>
      </x:c>
      <x:c r="B167" s="26" t="str">
        <x:v>علوم الأرض والفضاء</x:v>
      </x:c>
      <x:c r="C167" s="26" t="str">
        <x:v>علوم الأرض والفضاء</x:v>
      </x:c>
      <x:c r="D167" s="26" t="str">
        <x:v>النظام الأرضي</x:v>
      </x:c>
      <x:c r="E167" s="26" t="str">
        <x:v>7-2-3-5-9</x:v>
      </x:c>
      <x:c r="F167" s="26" t="str">
        <x:v>ربط الزلازل والبراكين بحدود الصفائح</x:v>
      </x:c>
      <x:c r="G167" s="26" t="str">
        <x:v>استدلال</x:v>
      </x:c>
      <x:c r="H167" s="26" t="str">
        <x:v>صعب</x:v>
      </x:c>
      <x:c r="I167" s="26" t="str">
        <x:v>اختيار من متعدد</x:v>
      </x:c>
      <x:c r="J167" s="20" t="str">
        <x:v>خريطة عالمية تبين أن معظم الزلازل والبراكين تتركز في أحزمة ضيقة متقاربة. أي تفسير يدعمه ذلك؟</x:v>
      </x:c>
      <x:c r="K167" s="20" t="str">
        <x:v>تتوزع الأخطار عشوائيًا تمامًا</x:v>
      </x:c>
      <x:c r="L167" s="20" t="str">
        <x:v>ترتبط معظمها بمناطق حدود الصفائح</x:v>
      </x:c>
      <x:c r="M167" s="20" t="str">
        <x:v>تحدث فقط في وسط القارات</x:v>
      </x:c>
      <x:c r="N167" s="20" t="str">
        <x:v>لا علاقة لها ببنية القشرة</x:v>
      </x:c>
      <x:c r="O167" s="20" t="str">
        <x:v>ب</x:v>
      </x:c>
      <x:c r="P167" s="20" t="str">
        <x:v>تجمع الزلازل والبراكين في أحزمة يتفق مع مواقع كثير من حدود الصفائح التكتونية.</x:v>
      </x:c>
      <x:c r="Q167" s="26" t="str">
        <x:v>خريطة</x:v>
      </x:c>
      <x:c r="R167" s="26" t="str">
        <x:v>خريطة مبسطة للعالم مع نقاط زلازل وبراكين مصطفة قرب حدود صفائح</x:v>
      </x:c>
      <x:c r="S167" s="26" t="str">
        <x:v>دفعة أولى – محاكي أصلي مبني على ناتج تعلم رسمي</x:v>
      </x:c>
      <x:c r="T167" s="26" t="str">
        <x:v>https://media.etec.gov.sa/media/sszdnh2h/%D9%86%D9%88%D8%A7%D8%AA%D8%AC-%D8%A7%D9%84%D8%AA%D8%B9%D9%84%D9%85-2026.pdf</x:v>
      </x:c>
      <x:c r="U167" t="str">
        <x:v>هيئة تقويم التعليم والتدريب – نواتج التعلم (صياغة أصلية)</x:v>
      </x:c>
    </x:row>
    <x:row r="168" ht="54" customHeight="1">
      <x:c r="A168" s="26" t="str">
        <x:v>EARTH017</x:v>
      </x:c>
      <x:c r="B168" s="26" t="str">
        <x:v>علوم الأرض والفضاء</x:v>
      </x:c>
      <x:c r="C168" s="26" t="str">
        <x:v>علوم الأرض والفضاء</x:v>
      </x:c>
      <x:c r="D168" s="26" t="str">
        <x:v>الأرض والنشاط البشري</x:v>
      </x:c>
      <x:c r="E168" s="26" t="str">
        <x:v>1-3-3-5-9</x:v>
      </x:c>
      <x:c r="F168" s="26" t="str">
        <x:v>تحليل بيانات الأخطار الطبيعية</x:v>
      </x:c>
      <x:c r="G168" s="26" t="str">
        <x:v>استدلال</x:v>
      </x:c>
      <x:c r="H168" s="26" t="str">
        <x:v>صعب</x:v>
      </x:c>
      <x:c r="I168" s="26" t="str">
        <x:v>اختيار من متعدد</x:v>
      </x:c>
      <x:c r="J168" s="20" t="str">
        <x:v>لدى مدينتين الخطر الزلزالي نفسه، لكن المدينة (أ) تطبق معايير بناء مقاومة للزلازل بدرجة أعلى من المدينة (ب). أي توقع أكثر منطقية عند زلزال مماثل؟</x:v>
      </x:c>
      <x:c r="K168" s="20" t="str">
        <x:v>ستكون الأضرار متساوية حتمًا</x:v>
      </x:c>
      <x:c r="L168" s="20" t="str">
        <x:v>قد تكون الأضرار في المدينة أ أقل</x:v>
      </x:c>
      <x:c r="M168" s="20" t="str">
        <x:v>ستكون الأضرار في أ أكبر دائمًا</x:v>
      </x:c>
      <x:c r="N168" s="20" t="str">
        <x:v>لا تؤثر معايير البناء في الأضرار</x:v>
      </x:c>
      <x:c r="O168" s="20" t="str">
        <x:v>ب</x:v>
      </x:c>
      <x:c r="P168" s="20" t="str">
        <x:v>تطبيق معايير بناء مناسبة يقلل قابلية المنشآت للتضرر حتى مع بقاء الخطر الطبيعي نفسه.</x:v>
      </x:c>
      <x:c r="Q168" s="26" t="str">
        <x:v>جدول</x:v>
      </x:c>
      <x:c r="R168" s="26" t="str">
        <x:v>جدول يقارن مدينتين في مستوى الخطر الزلزالي ودرجة تطبيق معايير البناء</x:v>
      </x:c>
      <x:c r="S168" s="26" t="str">
        <x:v>دفعة أولى – محاكي أصلي مبني على ناتج تعلم رسمي</x:v>
      </x:c>
      <x:c r="T168" s="26" t="str">
        <x:v>https://media.etec.gov.sa/media/sszdnh2h/%D9%86%D9%88%D8%A7%D8%AA%D8%AC-%D8%A7%D9%84%D8%AA%D8%B9%D9%84%D9%85-2026.pdf</x:v>
      </x:c>
      <x:c r="U168" t="str">
        <x:v>هيئة تقويم التعليم والتدريب – نواتج التعلم (صياغة أصلية)</x:v>
      </x:c>
    </x:row>
    <x:row r="169" ht="54" customHeight="1">
      <x:c r="A169" s="26" t="str">
        <x:v>EARTH018</x:v>
      </x:c>
      <x:c r="B169" s="26" t="str">
        <x:v>علوم الأرض والفضاء</x:v>
      </x:c>
      <x:c r="C169" s="26" t="str">
        <x:v>علوم الأرض والفضاء</x:v>
      </x:c>
      <x:c r="D169" s="26" t="str">
        <x:v>الأرض والنشاط البشري</x:v>
      </x:c>
      <x:c r="E169" s="26" t="str">
        <x:v>2-3-3-5-9</x:v>
      </x:c>
      <x:c r="F169" s="26" t="str">
        <x:v>توقع آثار الاعتماد على الموارد غير المتجددة</x:v>
      </x:c>
      <x:c r="G169" s="26" t="str">
        <x:v>استدلال</x:v>
      </x:c>
      <x:c r="H169" s="26" t="str">
        <x:v>متوسط</x:v>
      </x:c>
      <x:c r="I169" s="26" t="str">
        <x:v>اختيار من متعدد</x:v>
      </x:c>
      <x:c r="J169" s="20" t="str">
        <x:v>ما الأثر المتوقع على المدى البعيد إذا اعتمد مجتمع كليًا على مصدر طاقة غير متجدد؟</x:v>
      </x:c>
      <x:c r="K169" s="20" t="str">
        <x:v>لن يتأثر المخزون أبدًا</x:v>
      </x:c>
      <x:c r="L169" s="20" t="str">
        <x:v>قد يتناقص المورد ويزداد خطر استنزافه</x:v>
      </x:c>
      <x:c r="M169" s="20" t="str">
        <x:v>سيتحول تلقائيًا إلى مورد متجدد</x:v>
      </x:c>
      <x:c r="N169" s="20" t="str">
        <x:v>ستنعدم الحاجة لإدارة الموارد</x:v>
      </x:c>
      <x:c r="O169" s="20" t="str">
        <x:v>ب</x:v>
      </x:c>
      <x:c r="P169" s="20" t="str">
        <x:v>الموارد غير المتجددة محدودة وقد تتناقص مع الاستهلاك المستمر.</x:v>
      </x:c>
      <x:c r="Q169" s="26" t="str">
        <x:v>نصي</x:v>
      </x:c>
      <x:c r="R169" s="26"/>
      <x:c r="S169" s="26" t="str">
        <x:v>دفعة أولى – محاكي أصلي مبني على ناتج تعلم رسمي</x:v>
      </x:c>
      <x:c r="T169" s="26" t="str">
        <x:v>https://media.etec.gov.sa/media/sszdnh2h/%D9%86%D9%88%D8%A7%D8%AA%D8%AC-%D8%A7%D9%84%D8%AA%D8%B9%D9%84%D9%85-2026.pdf</x:v>
      </x:c>
      <x:c r="U169" t="str">
        <x:v>هيئة تقويم التعليم والتدريب – نواتج التعلم (صياغة أصلية)</x:v>
      </x:c>
    </x:row>
    <x:row r="170" ht="54" customHeight="1">
      <x:c r="A170" s="26" t="str">
        <x:v>EARTH019</x:v>
      </x:c>
      <x:c r="B170" s="26" t="str">
        <x:v>علوم الأرض والفضاء</x:v>
      </x:c>
      <x:c r="C170" s="26" t="str">
        <x:v>علوم الأرض والفضاء</x:v>
      </x:c>
      <x:c r="D170" s="26" t="str">
        <x:v>الأرض والنشاط البشري</x:v>
      </x:c>
      <x:c r="E170" s="26" t="str">
        <x:v>2-3-3-5-9</x:v>
      </x:c>
      <x:c r="F170" s="26" t="str">
        <x:v>تقويم حلول المحافظة على الموارد الطبيعية</x:v>
      </x:c>
      <x:c r="G170" s="26" t="str">
        <x:v>استدلال</x:v>
      </x:c>
      <x:c r="H170" s="26" t="str">
        <x:v>متوسط</x:v>
      </x:c>
      <x:c r="I170" s="26" t="str">
        <x:v>اختيار من متعدد</x:v>
      </x:c>
      <x:c r="J170" s="20" t="str">
        <x:v>أي إجراء يجمع بصورة أفضل بين تقليل استنزاف المياه والمحافظة على استدامتها؟</x:v>
      </x:c>
      <x:c r="K170" s="20" t="str">
        <x:v>زيادة التسرب في الشبكات</x:v>
      </x:c>
      <x:c r="L170" s="20" t="str">
        <x:v>استخدام الري عالي الكفاءة وإعادة استخدام المياه المعالجة عند الملاءمة</x:v>
      </x:c>
      <x:c r="M170" s="20" t="str">
        <x:v>ضخ المياه الجوفية دون مراقبة</x:v>
      </x:c>
      <x:c r="N170" s="20" t="str">
        <x:v>ترك الصنابير مفتوحة لتجديد الأنابيب</x:v>
      </x:c>
      <x:c r="O170" s="20" t="str">
        <x:v>ب</x:v>
      </x:c>
      <x:c r="P170" s="20" t="str">
        <x:v>رفع كفاءة الاستخدام وإعادة الاستخدام يقللان الاستنزاف ويدعمان الاستدامة.</x:v>
      </x:c>
      <x:c r="Q170" s="26" t="str">
        <x:v>نصي</x:v>
      </x:c>
      <x:c r="R170" s="26"/>
      <x:c r="S170" s="26" t="str">
        <x:v>دفعة أولى – محاكي أصلي مبني على ناتج تعلم رسمي</x:v>
      </x:c>
      <x:c r="T170" s="26" t="str">
        <x:v>https://media.etec.gov.sa/media/sszdnh2h/%D9%86%D9%88%D8%A7%D8%AA%D8%AC-%D8%A7%D9%84%D8%AA%D8%B9%D9%84%D9%85-2026.pdf</x:v>
      </x:c>
      <x:c r="U170" t="str">
        <x:v>هيئة تقويم التعليم والتدريب – نواتج التعلم (صياغة أصلية)</x:v>
      </x:c>
    </x:row>
    <x:row r="171" ht="54" customHeight="1">
      <x:c r="A171" s="26" t="str">
        <x:v>EARTH020</x:v>
      </x:c>
      <x:c r="B171" s="26" t="str">
        <x:v>علوم الأرض والفضاء</x:v>
      </x:c>
      <x:c r="C171" s="26" t="str">
        <x:v>علوم الأرض والفضاء</x:v>
      </x:c>
      <x:c r="D171" s="26" t="str">
        <x:v>النظام الأرضي</x:v>
      </x:c>
      <x:c r="E171" s="26" t="str">
        <x:v>1-2-3-5-9</x:v>
      </x:c>
      <x:c r="F171" s="26" t="str">
        <x:v>تحليل بيانات مناخية ومقارنة الفترات</x:v>
      </x:c>
      <x:c r="G171" s="26" t="str">
        <x:v>استدلال</x:v>
      </x:c>
      <x:c r="H171" s="26" t="str">
        <x:v>صعب</x:v>
      </x:c>
      <x:c r="I171" s="26" t="str">
        <x:v>اختيار من متعدد</x:v>
      </x:c>
      <x:c r="J171" s="20" t="str">
        <x:v>يعرض الرسم متوسط درجة الحرارة السنوي لعشر سنوات أولى وعشر سنوات لاحقة، وكانت القيم في الفترة الثانية أعلى في 8 سنوات من أصل 10. ما الاستنتاج الأنسب؟</x:v>
      </x:c>
      <x:c r="K171" s="20" t="str">
        <x:v>الفترة الثانية تميل إلى درجات أعلى في هذه البيانات</x:v>
      </x:c>
      <x:c r="L171" s="20" t="str">
        <x:v>ثبت أن جميع السنوات المستقبلية ستكون أعلى</x:v>
      </x:c>
      <x:c r="M171" s="20" t="str">
        <x:v>لا يمكن مقارنة الفترتين مطلقًا</x:v>
      </x:c>
      <x:c r="N171" s="20" t="str">
        <x:v>الفترة الأولى أعلى دائمًا</x:v>
      </x:c>
      <x:c r="O171" s="20" t="str">
        <x:v>أ</x:v>
      </x:c>
      <x:c r="P171" s="20" t="str">
        <x:v>البيانات المعروضة تدعم وجود ميل لارتفاع القيم في الفترة الثانية، دون تعميم قطعي على المستقبل.</x:v>
      </x:c>
      <x:c r="Q171" s="26" t="str">
        <x:v>رسم بياني</x:v>
      </x:c>
      <x:c r="R171" s="26" t="str">
        <x:v>مخطط عمودي لعشرين سنة مقسمة إلى فترتين، مع ارتفاع أغلب أعمدة الفترة الثانية</x:v>
      </x:c>
      <x:c r="S171" s="26" t="str">
        <x:v>دفعة أولى – محاكي أصلي مبني على ناتج تعلم رسمي</x:v>
      </x:c>
      <x:c r="T171" s="26" t="str">
        <x:v>https://media.etec.gov.sa/media/sszdnh2h/%D9%86%D9%88%D8%A7%D8%AA%D8%AC-%D8%A7%D9%84%D8%AA%D8%B9%D9%84%D9%85-2026.pdf</x:v>
      </x:c>
      <x:c r="U171" t="str">
        <x:v>هيئة تقويم التعليم والتدريب – نواتج التعلم (صياغة أصلية)</x:v>
      </x:c>
    </x:row>
    <x:row r="172" ht="54" customHeight="1">
      <x:c r="A172" s="26" t="str">
        <x:v>EARTH021</x:v>
      </x:c>
      <x:c r="B172" s="26" t="str">
        <x:v>علوم الأرض والفضاء</x:v>
      </x:c>
      <x:c r="C172" s="26" t="str">
        <x:v>علوم الأرض والفضاء</x:v>
      </x:c>
      <x:c r="D172" s="26" t="str">
        <x:v>الكون والنظام الشمسي</x:v>
      </x:c>
      <x:c r="E172" s="26" t="str">
        <x:v>1-1-3-5-9</x:v>
      </x:c>
      <x:c r="F172" s="26" t="str">
        <x:v>ترتيب الأجرام في النظام الشمسي</x:v>
      </x:c>
      <x:c r="G172" s="26" t="str">
        <x:v>معرفة</x:v>
      </x:c>
      <x:c r="H172" s="26" t="str">
        <x:v>سهل</x:v>
      </x:c>
      <x:c r="I172" s="26" t="str">
        <x:v>اختيار من متعدد</x:v>
      </x:c>
      <x:c r="J172" s="20" t="str">
        <x:v>أي كوكب أقرب إلى الشمس؟</x:v>
      </x:c>
      <x:c r="K172" s="20" t="str">
        <x:v>عطارد</x:v>
      </x:c>
      <x:c r="L172" s="20" t="str">
        <x:v>الأرض</x:v>
      </x:c>
      <x:c r="M172" s="20" t="str">
        <x:v>المشتري</x:v>
      </x:c>
      <x:c r="N172" s="20" t="str">
        <x:v>نبتون</x:v>
      </x:c>
      <x:c r="O172" s="20" t="str">
        <x:v>أ</x:v>
      </x:c>
      <x:c r="P172" s="20" t="str">
        <x:v>عطارد هو أقرب الكواكب إلى الشمس.</x:v>
      </x:c>
      <x:c r="Q172" s="26" t="str">
        <x:v>نصي</x:v>
      </x:c>
      <x:c r="R172" s="26"/>
      <x:c r="S172" s="26" t="str">
        <x:v>محاكي أصلي مستلهم من نمط نافس ومبني على ناتج تعلم رسمي</x:v>
      </x:c>
      <x:c r="T172" s="26" t="str">
        <x:v>https://media.etec.gov.sa/media/sszdnh2h/%D9%86%D9%88%D8%A7%D8%AA%D8%AC-%D8%A7%D9%84%D8%AA%D8%B9%D9%84%D9%85-2026.pdf</x:v>
      </x:c>
      <x:c r="U172" t="str">
        <x:v>هيئة تقويم التعليم والتدريب – نواتج التعلم (صياغة أصلية)</x:v>
      </x:c>
    </x:row>
    <x:row r="173" ht="54" customHeight="1">
      <x:c r="A173" s="26" t="str">
        <x:v>EARTH022</x:v>
      </x:c>
      <x:c r="B173" s="26" t="str">
        <x:v>علوم الأرض والفضاء</x:v>
      </x:c>
      <x:c r="C173" s="26" t="str">
        <x:v>علوم الأرض والفضاء</x:v>
      </x:c>
      <x:c r="D173" s="26" t="str">
        <x:v>الكون والنظام الشمسي</x:v>
      </x:c>
      <x:c r="E173" s="26" t="str">
        <x:v>2-1-3-5-9</x:v>
      </x:c>
      <x:c r="F173" s="26" t="str">
        <x:v>دور الجاذبية في المدارات</x:v>
      </x:c>
      <x:c r="G173" s="26" t="str">
        <x:v>استدلال</x:v>
      </x:c>
      <x:c r="H173" s="26" t="str">
        <x:v>متوسط</x:v>
      </x:c>
      <x:c r="I173" s="26" t="str">
        <x:v>اختيار من متعدد</x:v>
      </x:c>
      <x:c r="J173" s="20" t="str">
        <x:v>ما العامل الرئيس الذي يحافظ على دوران الكواكب في مداراتها حول الشمس؟</x:v>
      </x:c>
      <x:c r="K173" s="20" t="str">
        <x:v>جاذبية الشمس مع حركة الكواكب</x:v>
      </x:c>
      <x:c r="L173" s="20" t="str">
        <x:v>المجال المغناطيسي للأرض فقط</x:v>
      </x:c>
      <x:c r="M173" s="20" t="str">
        <x:v>الضوء المرئي</x:v>
      </x:c>
      <x:c r="N173" s="20" t="str">
        <x:v>الرياح على الكواكب</x:v>
      </x:c>
      <x:c r="O173" s="20" t="str">
        <x:v>أ</x:v>
      </x:c>
      <x:c r="P173" s="20" t="str">
        <x:v>تجذب الشمس الكواكب نحوها بينما تستمر حركتها، فينتج المدار.</x:v>
      </x:c>
      <x:c r="Q173" s="26" t="str">
        <x:v>نصي</x:v>
      </x:c>
      <x:c r="R173" s="26"/>
      <x:c r="S173" s="26" t="str">
        <x:v>محاكي أصلي مستلهم من نمط نافس ومبني على ناتج تعلم رسمي</x:v>
      </x:c>
      <x:c r="T173" s="26" t="str">
        <x:v>https://media.etec.gov.sa/media/sszdnh2h/%D9%86%D9%88%D8%A7%D8%AA%D8%AC-%D8%A7%D9%84%D8%AA%D8%B9%D9%84%D9%85-2026.pdf</x:v>
      </x:c>
      <x:c r="U173" t="str">
        <x:v>هيئة تقويم التعليم والتدريب – نواتج التعلم (صياغة أصلية)</x:v>
      </x:c>
    </x:row>
    <x:row r="174" ht="54" customHeight="1">
      <x:c r="A174" s="26" t="str">
        <x:v>EARTH023</x:v>
      </x:c>
      <x:c r="B174" s="26" t="str">
        <x:v>علوم الأرض والفضاء</x:v>
      </x:c>
      <x:c r="C174" s="26" t="str">
        <x:v>علوم الأرض والفضاء</x:v>
      </x:c>
      <x:c r="D174" s="26" t="str">
        <x:v>الكون والنظام الشمسي</x:v>
      </x:c>
      <x:c r="E174" s="26" t="str">
        <x:v>2-1-3-5-9</x:v>
      </x:c>
      <x:c r="F174" s="26" t="str">
        <x:v>أطوار القمر</x:v>
      </x:c>
      <x:c r="G174" s="26" t="str">
        <x:v>تطبيق</x:v>
      </x:c>
      <x:c r="H174" s="26" t="str">
        <x:v>متوسط</x:v>
      </x:c>
      <x:c r="I174" s="26" t="str">
        <x:v>اختيار من متعدد</x:v>
      </x:c>
      <x:c r="J174" s="20" t="str">
        <x:v>لماذا نرى أطوارًا مختلفة للقمر خلال الشهر؟</x:v>
      </x:c>
      <x:c r="K174" s="20" t="str">
        <x:v>لتغير الجزء المضاء من القمر الذي نراه أثناء دورانه حول الأرض</x:v>
      </x:c>
      <x:c r="L174" s="20" t="str">
        <x:v>لأن القمر يتغير حجمه فعليًا</x:v>
      </x:c>
      <x:c r="M174" s="20" t="str">
        <x:v>لأن الشمس تنطفئ جزئيًا</x:v>
      </x:c>
      <x:c r="N174" s="20" t="str">
        <x:v>لأن الأرض تدور حول نفسها فقط</x:v>
      </x:c>
      <x:c r="O174" s="20" t="str">
        <x:v>أ</x:v>
      </x:c>
      <x:c r="P174" s="20" t="str">
        <x:v>يتغير موضع القمر بالنسبة للأرض والشمس، فتتغير نسبة الجزء المضاء المرئي.</x:v>
      </x:c>
      <x:c r="Q174" s="26" t="str">
        <x:v>صورة</x:v>
      </x:c>
      <x:c r="R174" s="26" t="str">
        <x:v>ثمانية مواضع للقمر حول الأرض مع أطوار مبسطة</x:v>
      </x:c>
      <x:c r="S174" s="26" t="str">
        <x:v>محاكي أصلي مستلهم من نمط نافس ومبني على ناتج تعلم رسمي</x:v>
      </x:c>
      <x:c r="T174" s="26" t="str">
        <x:v>https://media.etec.gov.sa/media/sszdnh2h/%D9%86%D9%88%D8%A7%D8%AA%D8%AC-%D8%A7%D9%84%D8%AA%D8%B9%D9%84%D9%85-2026.pdf</x:v>
      </x:c>
      <x:c r="U174" t="str">
        <x:v>هيئة تقويم التعليم والتدريب – نواتج التعلم (صياغة أصلية)</x:v>
      </x:c>
    </x:row>
    <x:row r="175" ht="54" customHeight="1">
      <x:c r="A175" s="26" t="str">
        <x:v>EARTH024</x:v>
      </x:c>
      <x:c r="B175" s="26" t="str">
        <x:v>علوم الأرض والفضاء</x:v>
      </x:c>
      <x:c r="C175" s="26" t="str">
        <x:v>علوم الأرض والفضاء</x:v>
      </x:c>
      <x:c r="D175" s="26" t="str">
        <x:v>الكون والنظام الشمسي</x:v>
      </x:c>
      <x:c r="E175" s="26" t="str">
        <x:v>2-1-3-5-9</x:v>
      </x:c>
      <x:c r="F175" s="26" t="str">
        <x:v>تفسير الكسوف الشمسي</x:v>
      </x:c>
      <x:c r="G175" s="26" t="str">
        <x:v>تطبيق</x:v>
      </x:c>
      <x:c r="H175" s="26" t="str">
        <x:v>متوسط</x:v>
      </x:c>
      <x:c r="I175" s="26" t="str">
        <x:v>اختيار من متعدد</x:v>
      </x:c>
      <x:c r="J175" s="20" t="str">
        <x:v>أي ترتيب للأجرام يحدث أثناء الكسوف الشمسي؟</x:v>
      </x:c>
      <x:c r="K175" s="20" t="str">
        <x:v>الشمس - القمر - الأرض</x:v>
      </x:c>
      <x:c r="L175" s="20" t="str">
        <x:v>الشمس - الأرض - القمر</x:v>
      </x:c>
      <x:c r="M175" s="20" t="str">
        <x:v>القمر - الشمس - الأرض</x:v>
      </x:c>
      <x:c r="N175" s="20" t="str">
        <x:v>الأرض - الشمس - القمر</x:v>
      </x:c>
      <x:c r="O175" s="20" t="str">
        <x:v>أ</x:v>
      </x:c>
      <x:c r="P175" s="20" t="str">
        <x:v>يكون القمر بين الشمس والأرض فيحجب ضوء الشمس عن جزء من الأرض.</x:v>
      </x:c>
      <x:c r="Q175" s="26" t="str">
        <x:v>صورة</x:v>
      </x:c>
      <x:c r="R175" s="26" t="str">
        <x:v>رسم خطي للشمس والقمر والأرض أثناء الكسوف الشمسي</x:v>
      </x:c>
      <x:c r="S175" s="26" t="str">
        <x:v>محاكي أصلي مستلهم من نمط نافس ومبني على ناتج تعلم رسمي</x:v>
      </x:c>
      <x:c r="T175" s="26" t="str">
        <x:v>https://media.etec.gov.sa/media/sszdnh2h/%D9%86%D9%88%D8%A7%D8%AA%D8%AC-%D8%A7%D9%84%D8%AA%D8%B9%D9%84%D9%85-2026.pdf</x:v>
      </x:c>
      <x:c r="U175" t="str">
        <x:v>هيئة تقويم التعليم والتدريب – نواتج التعلم (صياغة أصلية)</x:v>
      </x:c>
    </x:row>
    <x:row r="176" ht="54" customHeight="1">
      <x:c r="A176" s="26" t="str">
        <x:v>EARTH025</x:v>
      </x:c>
      <x:c r="B176" s="26" t="str">
        <x:v>علوم الأرض والفضاء</x:v>
      </x:c>
      <x:c r="C176" s="26" t="str">
        <x:v>علوم الأرض والفضاء</x:v>
      </x:c>
      <x:c r="D176" s="26" t="str">
        <x:v>الكون والنظام الشمسي</x:v>
      </x:c>
      <x:c r="E176" s="26" t="str">
        <x:v>1-1-3-5-9</x:v>
      </x:c>
      <x:c r="F176" s="26" t="str">
        <x:v>العلاقة بين لون النجم وحرارته</x:v>
      </x:c>
      <x:c r="G176" s="26" t="str">
        <x:v>استدلال</x:v>
      </x:c>
      <x:c r="H176" s="26" t="str">
        <x:v>متوسط</x:v>
      </x:c>
      <x:c r="I176" s="26" t="str">
        <x:v>اختيار من متعدد</x:v>
      </x:c>
      <x:c r="J176" s="20" t="str">
        <x:v>نجم أزرق ونجم أحمر. أيهما أعلى درجة حرارة سطحية غالبًا؟</x:v>
      </x:c>
      <x:c r="K176" s="20" t="str">
        <x:v>الأزرق</x:v>
      </x:c>
      <x:c r="L176" s="20" t="str">
        <x:v>الأحمر</x:v>
      </x:c>
      <x:c r="M176" s="20" t="str">
        <x:v>متساويان دائمًا</x:v>
      </x:c>
      <x:c r="N176" s="20" t="str">
        <x:v>لا علاقة للون بالحرارة</x:v>
      </x:c>
      <x:c r="O176" s="20" t="str">
        <x:v>أ</x:v>
      </x:c>
      <x:c r="P176" s="20" t="str">
        <x:v>النجوم الزرقاء أعلى حرارة سطحية عادة من النجوم الحمراء.</x:v>
      </x:c>
      <x:c r="Q176" s="26" t="str">
        <x:v>نصي</x:v>
      </x:c>
      <x:c r="R176" s="26"/>
      <x:c r="S176" s="26" t="str">
        <x:v>محاكي أصلي مستلهم من نمط نافس ومبني على ناتج تعلم رسمي</x:v>
      </x:c>
      <x:c r="T176" s="26" t="str">
        <x:v>https://media.etec.gov.sa/media/sszdnh2h/%D9%86%D9%88%D8%A7%D8%AA%D8%AC-%D8%A7%D9%84%D8%AA%D8%B9%D9%84%D9%85-2026.pdf</x:v>
      </x:c>
      <x:c r="U176" t="str">
        <x:v>هيئة تقويم التعليم والتدريب – نواتج التعلم (صياغة أصلية)</x:v>
      </x:c>
    </x:row>
    <x:row r="177" ht="54" customHeight="1">
      <x:c r="A177" s="26" t="str">
        <x:v>EARTH026</x:v>
      </x:c>
      <x:c r="B177" s="26" t="str">
        <x:v>علوم الأرض والفضاء</x:v>
      </x:c>
      <x:c r="C177" s="26" t="str">
        <x:v>علوم الأرض والفضاء</x:v>
      </x:c>
      <x:c r="D177" s="26" t="str">
        <x:v>الكون والنظام الشمسي</x:v>
      </x:c>
      <x:c r="E177" s="26" t="str">
        <x:v>1-1-3-5-9</x:v>
      </x:c>
      <x:c r="F177" s="26" t="str">
        <x:v>قياس المسافات الكونية</x:v>
      </x:c>
      <x:c r="G177" s="26" t="str">
        <x:v>معرفة</x:v>
      </x:c>
      <x:c r="H177" s="26" t="str">
        <x:v>سهل</x:v>
      </x:c>
      <x:c r="I177" s="26" t="str">
        <x:v>اختيار من متعدد</x:v>
      </x:c>
      <x:c r="J177" s="20" t="str">
        <x:v>السنة الضوئية وحدة تستخدم أساسًا لقياس:</x:v>
      </x:c>
      <x:c r="K177" s="20" t="str">
        <x:v>المسافات الكبيرة في الفضاء</x:v>
      </x:c>
      <x:c r="L177" s="20" t="str">
        <x:v>الزمن اليومي</x:v>
      </x:c>
      <x:c r="M177" s="20" t="str">
        <x:v>درجة حرارة النجوم</x:v>
      </x:c>
      <x:c r="N177" s="20" t="str">
        <x:v>كتلة الكواكب</x:v>
      </x:c>
      <x:c r="O177" s="20" t="str">
        <x:v>أ</x:v>
      </x:c>
      <x:c r="P177" s="20" t="str">
        <x:v>السنة الضوئية هي المسافة التي يقطعها الضوء في سنة.</x:v>
      </x:c>
      <x:c r="Q177" s="26" t="str">
        <x:v>نصي</x:v>
      </x:c>
      <x:c r="R177" s="26"/>
      <x:c r="S177" s="26" t="str">
        <x:v>محاكي أصلي مستلهم من نمط نافس ومبني على ناتج تعلم رسمي</x:v>
      </x:c>
      <x:c r="T177" s="26" t="str">
        <x:v>https://media.etec.gov.sa/media/sszdnh2h/%D9%86%D9%88%D8%A7%D8%AA%D8%AC-%D8%A7%D9%84%D8%AA%D8%B9%D9%84%D9%85-2026.pdf</x:v>
      </x:c>
      <x:c r="U177" t="str">
        <x:v>هيئة تقويم التعليم والتدريب – نواتج التعلم (صياغة أصلية)</x:v>
      </x:c>
    </x:row>
    <x:row r="178" ht="54" customHeight="1">
      <x:c r="A178" s="26" t="str">
        <x:v>EARTH027</x:v>
      </x:c>
      <x:c r="B178" s="26" t="str">
        <x:v>علوم الأرض والفضاء</x:v>
      </x:c>
      <x:c r="C178" s="26" t="str">
        <x:v>علوم الأرض والفضاء</x:v>
      </x:c>
      <x:c r="D178" s="26" t="str">
        <x:v>النظام الأرضي</x:v>
      </x:c>
      <x:c r="E178" s="26" t="str">
        <x:v>1-2-3-5-9</x:v>
      </x:c>
      <x:c r="F178" s="26" t="str">
        <x:v>التمييز بين الطقس والمناخ</x:v>
      </x:c>
      <x:c r="G178" s="26" t="str">
        <x:v>تطبيق</x:v>
      </x:c>
      <x:c r="H178" s="26" t="str">
        <x:v>سهل</x:v>
      </x:c>
      <x:c r="I178" s="26" t="str">
        <x:v>اختيار من متعدد</x:v>
      </x:c>
      <x:c r="J178" s="20" t="str">
        <x:v>أي عبارة تصف المناخ لا الطقس؟</x:v>
      </x:c>
      <x:c r="K178" s="20" t="str">
        <x:v>متوسط درجات الحرارة والهطول في منطقة خلال عقود</x:v>
      </x:c>
      <x:c r="L178" s="20" t="str">
        <x:v>درجة الحرارة ظهر اليوم</x:v>
      </x:c>
      <x:c r="M178" s="20" t="str">
        <x:v>هطول مطر هذا الصباح</x:v>
      </x:c>
      <x:c r="N178" s="20" t="str">
        <x:v>سرعة الرياح في ساعة محددة</x:v>
      </x:c>
      <x:c r="O178" s="20" t="str">
        <x:v>أ</x:v>
      </x:c>
      <x:c r="P178" s="20" t="str">
        <x:v>المناخ يصف الأنماط طويلة المدى، بينما الطقس يصف الحالة قصيرة المدى.</x:v>
      </x:c>
      <x:c r="Q178" s="26" t="str">
        <x:v>نصي</x:v>
      </x:c>
      <x:c r="R178" s="26"/>
      <x:c r="S178" s="26" t="str">
        <x:v>محاكي أصلي مستلهم من نمط نافس ومبني على ناتج تعلم رسمي</x:v>
      </x:c>
      <x:c r="T178" s="26" t="str">
        <x:v>https://media.etec.gov.sa/media/sszdnh2h/%D9%86%D9%88%D8%A7%D8%AA%D8%AC-%D8%A7%D9%84%D8%AA%D8%B9%D9%84%D9%85-2026.pdf</x:v>
      </x:c>
      <x:c r="U178" t="str">
        <x:v>هيئة تقويم التعليم والتدريب – نواتج التعلم (صياغة أصلية)</x:v>
      </x:c>
    </x:row>
    <x:row r="179" ht="54" customHeight="1">
      <x:c r="A179" s="26" t="str">
        <x:v>EARTH028</x:v>
      </x:c>
      <x:c r="B179" s="26" t="str">
        <x:v>علوم الأرض والفضاء</x:v>
      </x:c>
      <x:c r="C179" s="26" t="str">
        <x:v>علوم الأرض والفضاء</x:v>
      </x:c>
      <x:c r="D179" s="26" t="str">
        <x:v>النظام الأرضي</x:v>
      </x:c>
      <x:c r="E179" s="26" t="str">
        <x:v>1-2-3-5-9</x:v>
      </x:c>
      <x:c r="F179" s="26" t="str">
        <x:v>العلاقة بين الضغط والرياح</x:v>
      </x:c>
      <x:c r="G179" s="26" t="str">
        <x:v>استدلال</x:v>
      </x:c>
      <x:c r="H179" s="26" t="str">
        <x:v>متوسط</x:v>
      </x:c>
      <x:c r="I179" s="26" t="str">
        <x:v>اختيار من متعدد</x:v>
      </x:c>
      <x:c r="J179" s="20" t="str">
        <x:v>تتحرك الرياح غالبًا من مناطق الضغط:</x:v>
      </x:c>
      <x:c r="K179" s="20" t="str">
        <x:v>المرتفع إلى المنخفض</x:v>
      </x:c>
      <x:c r="L179" s="20" t="str">
        <x:v>المنخفض إلى المرتفع دائمًا</x:v>
      </x:c>
      <x:c r="M179" s="20" t="str">
        <x:v>المتساوي فقط</x:v>
      </x:c>
      <x:c r="N179" s="20" t="str">
        <x:v>لا تتأثر بالضغط</x:v>
      </x:c>
      <x:c r="O179" s="20" t="str">
        <x:v>أ</x:v>
      </x:c>
      <x:c r="P179" s="20" t="str">
        <x:v>فرق الضغط يدفع الهواء من مناطق الضغط الأعلى نحو الأدنى.</x:v>
      </x:c>
      <x:c r="Q179" s="26" t="str">
        <x:v>خريطة</x:v>
      </x:c>
      <x:c r="R179" s="26" t="str">
        <x:v>منطقتا ضغط مرتفع ومنخفض وأسهم حركة الهواء بينهما</x:v>
      </x:c>
      <x:c r="S179" s="26" t="str">
        <x:v>محاكي أصلي مستلهم من نمط نافس ومبني على ناتج تعلم رسمي</x:v>
      </x:c>
      <x:c r="T179" s="26" t="str">
        <x:v>https://media.etec.gov.sa/media/sszdnh2h/%D9%86%D9%88%D8%A7%D8%AA%D8%AC-%D8%A7%D9%84%D8%AA%D8%B9%D9%84%D9%85-2026.pdf</x:v>
      </x:c>
      <x:c r="U179" t="str">
        <x:v>هيئة تقويم التعليم والتدريب – نواتج التعلم (صياغة أصلية)</x:v>
      </x:c>
    </x:row>
    <x:row r="180" ht="54" customHeight="1">
      <x:c r="A180" s="26" t="str">
        <x:v>EARTH029</x:v>
      </x:c>
      <x:c r="B180" s="26" t="str">
        <x:v>علوم الأرض والفضاء</x:v>
      </x:c>
      <x:c r="C180" s="26" t="str">
        <x:v>علوم الأرض والفضاء</x:v>
      </x:c>
      <x:c r="D180" s="26" t="str">
        <x:v>النظام الأرضي</x:v>
      </x:c>
      <x:c r="E180" s="26" t="str">
        <x:v>3-2-3-5-9</x:v>
      </x:c>
      <x:c r="F180" s="26" t="str">
        <x:v>تكاثف بخار الماء وتكون السحب</x:v>
      </x:c>
      <x:c r="G180" s="26" t="str">
        <x:v>تطبيق</x:v>
      </x:c>
      <x:c r="H180" s="26" t="str">
        <x:v>متوسط</x:v>
      </x:c>
      <x:c r="I180" s="26" t="str">
        <x:v>اختيار من متعدد</x:v>
      </x:c>
      <x:c r="J180" s="20" t="str">
        <x:v>عندما يبرد الهواء الرطب إلى درجة كافية، ماذا يحدث لبخار الماء؟</x:v>
      </x:c>
      <x:c r="K180" s="20" t="str">
        <x:v>يتكاثف إلى قطرات صغيرة</x:v>
      </x:c>
      <x:c r="L180" s="20" t="str">
        <x:v>يتحول كله إلى صخر</x:v>
      </x:c>
      <x:c r="M180" s="20" t="str">
        <x:v>يزداد دائمًا دون حد</x:v>
      </x:c>
      <x:c r="N180" s="20" t="str">
        <x:v>يختفي من دورة الماء</x:v>
      </x:c>
      <x:c r="O180" s="20" t="str">
        <x:v>أ</x:v>
      </x:c>
      <x:c r="P180" s="20" t="str">
        <x:v>تبريد الهواء قد يؤدي إلى تكاثف بخار الماء وتكون قطرات السحب.</x:v>
      </x:c>
      <x:c r="Q180" s="26" t="str">
        <x:v>نصي</x:v>
      </x:c>
      <x:c r="R180" s="26"/>
      <x:c r="S180" s="26" t="str">
        <x:v>محاكي أصلي مستلهم من نمط نافس ومبني على ناتج تعلم رسمي</x:v>
      </x:c>
      <x:c r="T180" s="26" t="str">
        <x:v>https://media.etec.gov.sa/media/sszdnh2h/%D9%86%D9%88%D8%A7%D8%AA%D8%AC-%D8%A7%D9%84%D8%AA%D8%B9%D9%84%D9%85-2026.pdf</x:v>
      </x:c>
      <x:c r="U180" t="str">
        <x:v>هيئة تقويم التعليم والتدريب – نواتج التعلم (صياغة أصلية)</x:v>
      </x:c>
    </x:row>
    <x:row r="181" ht="54" customHeight="1">
      <x:c r="A181" s="26" t="str">
        <x:v>EARTH030</x:v>
      </x:c>
      <x:c r="B181" s="26" t="str">
        <x:v>علوم الأرض والفضاء</x:v>
      </x:c>
      <x:c r="C181" s="26" t="str">
        <x:v>علوم الأرض والفضاء</x:v>
      </x:c>
      <x:c r="D181" s="26" t="str">
        <x:v>النظام الأرضي</x:v>
      </x:c>
      <x:c r="E181" s="26" t="str">
        <x:v>1-2-3-5-9</x:v>
      </x:c>
      <x:c r="F181" s="26" t="str">
        <x:v>الاحتباس الحراري</x:v>
      </x:c>
      <x:c r="G181" s="26" t="str">
        <x:v>استدلال</x:v>
      </x:c>
      <x:c r="H181" s="26" t="str">
        <x:v>صعب</x:v>
      </x:c>
      <x:c r="I181" s="26" t="str">
        <x:v>اختيار من متعدد</x:v>
      </x:c>
      <x:c r="J181" s="20" t="str">
        <x:v>أي عبارة علمية أدق عن غازات الدفيئة؟</x:v>
      </x:c>
      <x:c r="K181" s="20" t="str">
        <x:v>بعضها يمتص الإشعاع الحراري ويسهم في تدفئة الغلاف الجوي</x:v>
      </x:c>
      <x:c r="L181" s="20" t="str">
        <x:v>تمنع وصول ضوء الشمس كليًا</x:v>
      </x:c>
      <x:c r="M181" s="20" t="str">
        <x:v>لا تؤثر في توازن الطاقة</x:v>
      </x:c>
      <x:c r="N181" s="20" t="str">
        <x:v>توقف دوران الأرض</x:v>
      </x:c>
      <x:c r="O181" s="20" t="str">
        <x:v>أ</x:v>
      </x:c>
      <x:c r="P181" s="20" t="str">
        <x:v>تمتص بعض غازات الدفيئة الإشعاع الحراري وتعيد إصداره، ما يؤثر في توازن الطاقة.</x:v>
      </x:c>
      <x:c r="Q181" s="26" t="str">
        <x:v>نصي</x:v>
      </x:c>
      <x:c r="R181" s="26"/>
      <x:c r="S181" s="26" t="str">
        <x:v>محاكي أصلي مستلهم من نمط نافس ومبني على ناتج تعلم رسمي</x:v>
      </x:c>
      <x:c r="T181" s="26" t="str">
        <x:v>https://media.etec.gov.sa/media/sszdnh2h/%D9%86%D9%88%D8%A7%D8%AA%D8%AC-%D8%A7%D9%84%D8%AA%D8%B9%D9%84%D9%85-2026.pdf</x:v>
      </x:c>
      <x:c r="U181" t="str">
        <x:v>هيئة تقويم التعليم والتدريب – نواتج التعلم (صياغة أصلية)</x:v>
      </x:c>
    </x:row>
    <x:row r="182" ht="54" customHeight="1">
      <x:c r="A182" s="26" t="str">
        <x:v>EARTH031</x:v>
      </x:c>
      <x:c r="B182" s="26" t="str">
        <x:v>علوم الأرض والفضاء</x:v>
      </x:c>
      <x:c r="C182" s="26" t="str">
        <x:v>علوم الأرض والفضاء</x:v>
      </x:c>
      <x:c r="D182" s="26" t="str">
        <x:v>النظام الأرضي</x:v>
      </x:c>
      <x:c r="E182" s="26" t="str">
        <x:v>1-2-3-5-9</x:v>
      </x:c>
      <x:c r="F182" s="26" t="str">
        <x:v>تحليل بيانات مناخية</x:v>
      </x:c>
      <x:c r="G182" s="26" t="str">
        <x:v>استدلال</x:v>
      </x:c>
      <x:c r="H182" s="26" t="str">
        <x:v>صعب</x:v>
      </x:c>
      <x:c r="I182" s="26" t="str">
        <x:v>اختيار من متعدد</x:v>
      </x:c>
      <x:c r="J182" s="20" t="str">
        <x:v>يوضح رسم أن متوسط الهطول السنوي انخفض في 7 من آخر 10 سنوات مقارنة بمتوسط سابق. ما الاستنتاج الأكثر حذرًا؟</x:v>
      </x:c>
      <x:c r="K182" s="20" t="str">
        <x:v>البيانات تشير إلى ميل للانخفاض في الفترة المعروضة</x:v>
      </x:c>
      <x:c r="L182" s="20" t="str">
        <x:v>لن يهطل المطر مستقبلًا مطلقًا</x:v>
      </x:c>
      <x:c r="M182" s="20" t="str">
        <x:v>ثبت سبب الانخفاض من الرسم وحده</x:v>
      </x:c>
      <x:c r="N182" s="20" t="str">
        <x:v>لا يمكن وصف أي اتجاه</x:v>
      </x:c>
      <x:c r="O182" s="20" t="str">
        <x:v>أ</x:v>
      </x:c>
      <x:c r="P182" s="20" t="str">
        <x:v>الرسم يدعم وصف اتجاه في البيانات لكنه لا يثبت السبب أو المستقبل بصورة قطعية.</x:v>
      </x:c>
      <x:c r="Q182" s="26" t="str">
        <x:v>رسم بياني</x:v>
      </x:c>
      <x:c r="R182" s="26" t="str">
        <x:v>أعمدة هطول لعشر سنوات مع انخفاض معظم السنوات مقارنة بخط متوسط سابق</x:v>
      </x:c>
      <x:c r="S182" s="26" t="str">
        <x:v>محاكي أصلي مستلهم من نمط نافس ومبني على ناتج تعلم رسمي</x:v>
      </x:c>
      <x:c r="T182" s="26" t="str">
        <x:v>https://media.etec.gov.sa/media/sszdnh2h/%D9%86%D9%88%D8%A7%D8%AA%D8%AC-%D8%A7%D9%84%D8%AA%D8%B9%D9%84%D9%85-2026.pdf</x:v>
      </x:c>
      <x:c r="U182" t="str">
        <x:v>هيئة تقويم التعليم والتدريب – نواتج التعلم (صياغة أصلية)</x:v>
      </x:c>
    </x:row>
    <x:row r="183" ht="54" customHeight="1">
      <x:c r="A183" s="26" t="str">
        <x:v>EARTH032</x:v>
      </x:c>
      <x:c r="B183" s="26" t="str">
        <x:v>علوم الأرض والفضاء</x:v>
      </x:c>
      <x:c r="C183" s="26" t="str">
        <x:v>علوم الأرض والفضاء</x:v>
      </x:c>
      <x:c r="D183" s="26" t="str">
        <x:v>النظام الأرضي</x:v>
      </x:c>
      <x:c r="E183" s="26" t="str">
        <x:v>3-2-3-5-9</x:v>
      </x:c>
      <x:c r="F183" s="26" t="str">
        <x:v>مراحل دورة الماء</x:v>
      </x:c>
      <x:c r="G183" s="26" t="str">
        <x:v>تطبيق</x:v>
      </x:c>
      <x:c r="H183" s="26" t="str">
        <x:v>سهل</x:v>
      </x:c>
      <x:c r="I183" s="26" t="str">
        <x:v>اختيار من متعدد</x:v>
      </x:c>
      <x:c r="J183" s="20" t="str">
        <x:v>تحول الماء السائل من سطح بحيرة إلى بخار يسمى:</x:v>
      </x:c>
      <x:c r="K183" s="20" t="str">
        <x:v>تبخرًا</x:v>
      </x:c>
      <x:c r="L183" s="20" t="str">
        <x:v>تكاثفًا</x:v>
      </x:c>
      <x:c r="M183" s="20" t="str">
        <x:v>هطولًا</x:v>
      </x:c>
      <x:c r="N183" s="20" t="str">
        <x:v>ترسيبًا صخريًا</x:v>
      </x:c>
      <x:c r="O183" s="20" t="str">
        <x:v>أ</x:v>
      </x:c>
      <x:c r="P183" s="20" t="str">
        <x:v>التبخر هو تحول الماء السائل إلى بخار.</x:v>
      </x:c>
      <x:c r="Q183" s="26" t="str">
        <x:v>رسم</x:v>
      </x:c>
      <x:c r="R183" s="26" t="str">
        <x:v>دورة ماء مبسطة: تبخر وتكاثف وهطول وجريان</x:v>
      </x:c>
      <x:c r="S183" s="26" t="str">
        <x:v>محاكي أصلي مستلهم من نمط نافس ومبني على ناتج تعلم رسمي</x:v>
      </x:c>
      <x:c r="T183" s="26" t="str">
        <x:v>https://media.etec.gov.sa/media/sszdnh2h/%D9%86%D9%88%D8%A7%D8%AA%D8%AC-%D8%A7%D9%84%D8%AA%D8%B9%D9%84%D9%85-2026.pdf</x:v>
      </x:c>
      <x:c r="U183" t="str">
        <x:v>هيئة تقويم التعليم والتدريب – نواتج التعلم (صياغة أصلية)</x:v>
      </x:c>
    </x:row>
    <x:row r="184" ht="54" customHeight="1">
      <x:c r="A184" s="26" t="str">
        <x:v>EARTH033</x:v>
      </x:c>
      <x:c r="B184" s="26" t="str">
        <x:v>علوم الأرض والفضاء</x:v>
      </x:c>
      <x:c r="C184" s="26" t="str">
        <x:v>علوم الأرض والفضاء</x:v>
      </x:c>
      <x:c r="D184" s="26" t="str">
        <x:v>النظام الأرضي</x:v>
      </x:c>
      <x:c r="E184" s="26" t="str">
        <x:v>3-2-3-5-9</x:v>
      </x:c>
      <x:c r="F184" s="26" t="str">
        <x:v>المياه الجوفية والتسرب</x:v>
      </x:c>
      <x:c r="G184" s="26" t="str">
        <x:v>تطبيق</x:v>
      </x:c>
      <x:c r="H184" s="26" t="str">
        <x:v>متوسط</x:v>
      </x:c>
      <x:c r="I184" s="26" t="str">
        <x:v>اختيار من متعدد</x:v>
      </x:c>
      <x:c r="J184" s="20" t="str">
        <x:v>أي عملية تغذي المياه الجوفية مباشرة بعد هطول المطر؟</x:v>
      </x:c>
      <x:c r="K184" s="20" t="str">
        <x:v>تسرب الماء داخل التربة والصخور</x:v>
      </x:c>
      <x:c r="L184" s="20" t="str">
        <x:v>التبخر من السطح فقط</x:v>
      </x:c>
      <x:c r="M184" s="20" t="str">
        <x:v>حركة الصفائح</x:v>
      </x:c>
      <x:c r="N184" s="20" t="str">
        <x:v>احتراق الوقود</x:v>
      </x:c>
      <x:c r="O184" s="20" t="str">
        <x:v>أ</x:v>
      </x:c>
      <x:c r="P184" s="20" t="str">
        <x:v>الماء المتسرب إلى باطن الأرض يمكن أن يصل إلى الخزانات الجوفية.</x:v>
      </x:c>
      <x:c r="Q184" s="26" t="str">
        <x:v>نصي</x:v>
      </x:c>
      <x:c r="R184" s="26"/>
      <x:c r="S184" s="26" t="str">
        <x:v>محاكي أصلي مستلهم من نمط نافس ومبني على ناتج تعلم رسمي</x:v>
      </x:c>
      <x:c r="T184" s="26" t="str">
        <x:v>https://media.etec.gov.sa/media/sszdnh2h/%D9%86%D9%88%D8%A7%D8%AA%D8%AC-%D8%A7%D9%84%D8%AA%D8%B9%D9%84%D9%85-2026.pdf</x:v>
      </x:c>
      <x:c r="U184" t="str">
        <x:v>هيئة تقويم التعليم والتدريب – نواتج التعلم (صياغة أصلية)</x:v>
      </x:c>
    </x:row>
    <x:row r="185" ht="54" customHeight="1">
      <x:c r="A185" s="26" t="str">
        <x:v>EARTH034</x:v>
      </x:c>
      <x:c r="B185" s="26" t="str">
        <x:v>علوم الأرض والفضاء</x:v>
      </x:c>
      <x:c r="C185" s="26" t="str">
        <x:v>علوم الأرض والفضاء</x:v>
      </x:c>
      <x:c r="D185" s="26" t="str">
        <x:v>النظام الأرضي</x:v>
      </x:c>
      <x:c r="E185" s="26" t="str">
        <x:v>2-2-3-5-9</x:v>
      </x:c>
      <x:c r="F185" s="26" t="str">
        <x:v>دورة الكربون والاحتراق</x:v>
      </x:c>
      <x:c r="G185" s="26" t="str">
        <x:v>تطبيق</x:v>
      </x:c>
      <x:c r="H185" s="26" t="str">
        <x:v>متوسط</x:v>
      </x:c>
      <x:c r="I185" s="26" t="str">
        <x:v>اختيار من متعدد</x:v>
      </x:c>
      <x:c r="J185" s="20" t="str">
        <x:v>أي عملية تزيد انتقال الكربون المخزن في الوقود الأحفوري إلى الغلاف الجوي؟</x:v>
      </x:c>
      <x:c r="K185" s="20" t="str">
        <x:v>الاحتراق</x:v>
      </x:c>
      <x:c r="L185" s="20" t="str">
        <x:v>البناء الضوئي</x:v>
      </x:c>
      <x:c r="M185" s="20" t="str">
        <x:v>دفن البقايا</x:v>
      </x:c>
      <x:c r="N185" s="20" t="str">
        <x:v>تكوين الصخور فقط</x:v>
      </x:c>
      <x:c r="O185" s="20" t="str">
        <x:v>أ</x:v>
      </x:c>
      <x:c r="P185" s="20" t="str">
        <x:v>احتراق الوقود الأحفوري يطلق ثاني أكسيد الكربون إلى الغلاف الجوي.</x:v>
      </x:c>
      <x:c r="Q185" s="26" t="str">
        <x:v>رسم</x:v>
      </x:c>
      <x:c r="R185" s="26" t="str">
        <x:v>مخطط انتقال الكربون من الوقود الأحفوري إلى الغلاف الجوي بالاحتراق</x:v>
      </x:c>
      <x:c r="S185" s="26" t="str">
        <x:v>محاكي أصلي مستلهم من نمط نافس ومبني على ناتج تعلم رسمي</x:v>
      </x:c>
      <x:c r="T185" s="26" t="str">
        <x:v>https://media.etec.gov.sa/media/sszdnh2h/%D9%86%D9%88%D8%A7%D8%AA%D8%AC-%D8%A7%D9%84%D8%AA%D8%B9%D9%84%D9%85-2026.pdf</x:v>
      </x:c>
      <x:c r="U185" t="str">
        <x:v>هيئة تقويم التعليم والتدريب – نواتج التعلم (صياغة أصلية)</x:v>
      </x:c>
    </x:row>
    <x:row r="186" ht="54" customHeight="1">
      <x:c r="A186" s="26" t="str">
        <x:v>EARTH035</x:v>
      </x:c>
      <x:c r="B186" s="26" t="str">
        <x:v>علوم الأرض والفضاء</x:v>
      </x:c>
      <x:c r="C186" s="26" t="str">
        <x:v>علوم الأرض والفضاء</x:v>
      </x:c>
      <x:c r="D186" s="26" t="str">
        <x:v>النظام الأرضي</x:v>
      </x:c>
      <x:c r="E186" s="26" t="str">
        <x:v>2-2-3-5-9</x:v>
      </x:c>
      <x:c r="F186" s="26" t="str">
        <x:v>دور النباتات في دورة الكربون</x:v>
      </x:c>
      <x:c r="G186" s="26" t="str">
        <x:v>استدلال</x:v>
      </x:c>
      <x:c r="H186" s="26" t="str">
        <x:v>متوسط</x:v>
      </x:c>
      <x:c r="I186" s="26" t="str">
        <x:v>اختيار من متعدد</x:v>
      </x:c>
      <x:c r="J186" s="20" t="str">
        <x:v>كيف يمكن لزيادة الغطاء النباتي في منطقة أن تؤثر في الكربون الجوي؟</x:v>
      </x:c>
      <x:c r="K186" s="20" t="str">
        <x:v>قد تزيد امتصاص CO₂ بالبناء الضوئي</x:v>
      </x:c>
      <x:c r="L186" s="20" t="str">
        <x:v>تمنع دورة الكربون كليًا</x:v>
      </x:c>
      <x:c r="M186" s="20" t="str">
        <x:v>تحول CO₂ إلى نيتروجين</x:v>
      </x:c>
      <x:c r="N186" s="20" t="str">
        <x:v>لا علاقة للنبات بالكربون</x:v>
      </x:c>
      <x:c r="O186" s="20" t="str">
        <x:v>أ</x:v>
      </x:c>
      <x:c r="P186" s="20" t="str">
        <x:v>النباتات تمتص ثاني أكسيد الكربون أثناء البناء الضوئي وتخزن جزءًا من الكربون في الكتلة الحيوية.</x:v>
      </x:c>
      <x:c r="Q186" s="26" t="str">
        <x:v>نصي</x:v>
      </x:c>
      <x:c r="R186" s="26"/>
      <x:c r="S186" s="26" t="str">
        <x:v>محاكي أصلي مستلهم من نمط نافس ومبني على ناتج تعلم رسمي</x:v>
      </x:c>
      <x:c r="T186" s="26" t="str">
        <x:v>https://media.etec.gov.sa/media/sszdnh2h/%D9%86%D9%88%D8%A7%D8%AA%D8%AC-%D8%A7%D9%84%D8%AA%D8%B9%D9%84%D9%85-2026.pdf</x:v>
      </x:c>
      <x:c r="U186" t="str">
        <x:v>هيئة تقويم التعليم والتدريب – نواتج التعلم (صياغة أصلية)</x:v>
      </x:c>
    </x:row>
    <x:row r="187" ht="54" customHeight="1">
      <x:c r="A187" s="26" t="str">
        <x:v>EARTH036</x:v>
      </x:c>
      <x:c r="B187" s="26" t="str">
        <x:v>علوم الأرض والفضاء</x:v>
      </x:c>
      <x:c r="C187" s="26" t="str">
        <x:v>علوم الأرض والفضاء</x:v>
      </x:c>
      <x:c r="D187" s="26" t="str">
        <x:v>النظام الأرضي</x:v>
      </x:c>
      <x:c r="E187" s="26" t="str">
        <x:v>4-2-3-5-9</x:v>
      </x:c>
      <x:c r="F187" s="26" t="str">
        <x:v>خاصية المخدش للمعادن</x:v>
      </x:c>
      <x:c r="G187" s="26" t="str">
        <x:v>تطبيق</x:v>
      </x:c>
      <x:c r="H187" s="26" t="str">
        <x:v>متوسط</x:v>
      </x:c>
      <x:c r="I187" s="26" t="str">
        <x:v>اختيار من متعدد</x:v>
      </x:c>
      <x:c r="J187" s="20" t="str">
        <x:v>حك طالب معدنًا بلوح خزفي غير مزجج ولاحظ لون المسحوق الناتج. أي خاصية اختبر؟</x:v>
      </x:c>
      <x:c r="K187" s="20" t="str">
        <x:v>المخدش</x:v>
      </x:c>
      <x:c r="L187" s="20" t="str">
        <x:v>القساوة</x:v>
      </x:c>
      <x:c r="M187" s="20" t="str">
        <x:v>البريق فقط</x:v>
      </x:c>
      <x:c r="N187" s="20" t="str">
        <x:v>الانفصام</x:v>
      </x:c>
      <x:c r="O187" s="20" t="str">
        <x:v>أ</x:v>
      </x:c>
      <x:c r="P187" s="20" t="str">
        <x:v>لون مسحوق المعدن على لوح المخدش يسمى المخدش.</x:v>
      </x:c>
      <x:c r="Q187" s="26" t="str">
        <x:v>نصي</x:v>
      </x:c>
      <x:c r="R187" s="26"/>
      <x:c r="S187" s="26" t="str">
        <x:v>محاكي أصلي مستلهم من نمط نافس ومبني على ناتج تعلم رسمي</x:v>
      </x:c>
      <x:c r="T187" s="26" t="str">
        <x:v>https://media.etec.gov.sa/media/sszdnh2h/%D9%86%D9%88%D8%A7%D8%AA%D8%AC-%D8%A7%D9%84%D8%AA%D8%B9%D9%84%D9%85-2026.pdf</x:v>
      </x:c>
      <x:c r="U187" t="str">
        <x:v>هيئة تقويم التعليم والتدريب – نواتج التعلم (صياغة أصلية)</x:v>
      </x:c>
    </x:row>
    <x:row r="188" ht="54" customHeight="1">
      <x:c r="A188" s="26" t="str">
        <x:v>EARTH037</x:v>
      </x:c>
      <x:c r="B188" s="26" t="str">
        <x:v>علوم الأرض والفضاء</x:v>
      </x:c>
      <x:c r="C188" s="26" t="str">
        <x:v>علوم الأرض والفضاء</x:v>
      </x:c>
      <x:c r="D188" s="26" t="str">
        <x:v>النظام الأرضي</x:v>
      </x:c>
      <x:c r="E188" s="26" t="str">
        <x:v>4-2-3-5-9</x:v>
      </x:c>
      <x:c r="F188" s="26" t="str">
        <x:v>الانفصام والمكسر</x:v>
      </x:c>
      <x:c r="G188" s="26" t="str">
        <x:v>استدلال</x:v>
      </x:c>
      <x:c r="H188" s="26" t="str">
        <x:v>متوسط</x:v>
      </x:c>
      <x:c r="I188" s="26" t="str">
        <x:v>اختيار من متعدد</x:v>
      </x:c>
      <x:c r="J188" s="20" t="str">
        <x:v>معدن ينكسر باستمرار على أسطح مستوية محددة. أي خاصية يوضحها ذلك؟</x:v>
      </x:c>
      <x:c r="K188" s="20" t="str">
        <x:v>الانفصام</x:v>
      </x:c>
      <x:c r="L188" s="20" t="str">
        <x:v>المخدش</x:v>
      </x:c>
      <x:c r="M188" s="20" t="str">
        <x:v>الكثافة</x:v>
      </x:c>
      <x:c r="N188" s="20" t="str">
        <x:v>المغناطيسية فقط</x:v>
      </x:c>
      <x:c r="O188" s="20" t="str">
        <x:v>أ</x:v>
      </x:c>
      <x:c r="P188" s="20" t="str">
        <x:v>الانفصام هو انقسام المعدن على مستويات ضعف منتظمة.</x:v>
      </x:c>
      <x:c r="Q188" s="26" t="str">
        <x:v>نصي</x:v>
      </x:c>
      <x:c r="R188" s="26"/>
      <x:c r="S188" s="26" t="str">
        <x:v>محاكي أصلي مستلهم من نمط نافس ومبني على ناتج تعلم رسمي</x:v>
      </x:c>
      <x:c r="T188" s="26" t="str">
        <x:v>https://media.etec.gov.sa/media/sszdnh2h/%D9%86%D9%88%D8%A7%D8%AA%D8%AC-%D8%A7%D9%84%D8%AA%D8%B9%D9%84%D9%85-2026.pdf</x:v>
      </x:c>
      <x:c r="U188" t="str">
        <x:v>هيئة تقويم التعليم والتدريب – نواتج التعلم (صياغة أصلية)</x:v>
      </x:c>
    </x:row>
    <x:row r="189" ht="54" customHeight="1">
      <x:c r="A189" s="26" t="str">
        <x:v>EARTH038</x:v>
      </x:c>
      <x:c r="B189" s="26" t="str">
        <x:v>علوم الأرض والفضاء</x:v>
      </x:c>
      <x:c r="C189" s="26" t="str">
        <x:v>علوم الأرض والفضاء</x:v>
      </x:c>
      <x:c r="D189" s="26" t="str">
        <x:v>النظام الأرضي</x:v>
      </x:c>
      <x:c r="E189" s="26" t="str">
        <x:v>5-2-3-5-9</x:v>
      </x:c>
      <x:c r="F189" s="26" t="str">
        <x:v>حجم البلورات ومعدل التبريد</x:v>
      </x:c>
      <x:c r="G189" s="26" t="str">
        <x:v>استدلال</x:v>
      </x:c>
      <x:c r="H189" s="26" t="str">
        <x:v>متوسط</x:v>
      </x:c>
      <x:c r="I189" s="26" t="str">
        <x:v>اختيار من متعدد</x:v>
      </x:c>
      <x:c r="J189" s="20" t="str">
        <x:v>أي صخر ناري يُتوقع أن يمتلك بلورات أكبر؟</x:v>
      </x:c>
      <x:c r="K189" s="20" t="str">
        <x:v>صخر برد ببطء في باطن الأرض</x:v>
      </x:c>
      <x:c r="L189" s="20" t="str">
        <x:v>صخر برد بسرعة على السطح</x:v>
      </x:c>
      <x:c r="M189" s="20" t="str">
        <x:v>زجاج بركاني</x:v>
      </x:c>
      <x:c r="N189" s="20" t="str">
        <x:v>رماد بركاني دقيق</x:v>
      </x:c>
      <x:c r="O189" s="20" t="str">
        <x:v>أ</x:v>
      </x:c>
      <x:c r="P189" s="20" t="str">
        <x:v>التبريد البطيء يعطي البلورات وقتًا أطول للنمو.</x:v>
      </x:c>
      <x:c r="Q189" s="26" t="str">
        <x:v>نصي</x:v>
      </x:c>
      <x:c r="R189" s="26"/>
      <x:c r="S189" s="26" t="str">
        <x:v>محاكي أصلي مستلهم من نمط نافس ومبني على ناتج تعلم رسمي</x:v>
      </x:c>
      <x:c r="T189" s="26" t="str">
        <x:v>https://media.etec.gov.sa/media/sszdnh2h/%D9%86%D9%88%D8%A7%D8%AA%D8%AC-%D8%A7%D9%84%D8%AA%D8%B9%D9%84%D9%85-2026.pdf</x:v>
      </x:c>
      <x:c r="U189" t="str">
        <x:v>هيئة تقويم التعليم والتدريب – نواتج التعلم (صياغة أصلية)</x:v>
      </x:c>
    </x:row>
    <x:row r="190" ht="54" customHeight="1">
      <x:c r="A190" s="26" t="str">
        <x:v>EARTH039</x:v>
      </x:c>
      <x:c r="B190" s="26" t="str">
        <x:v>علوم الأرض والفضاء</x:v>
      </x:c>
      <x:c r="C190" s="26" t="str">
        <x:v>علوم الأرض والفضاء</x:v>
      </x:c>
      <x:c r="D190" s="26" t="str">
        <x:v>النظام الأرضي</x:v>
      </x:c>
      <x:c r="E190" s="26" t="str">
        <x:v>5-2-3-5-9</x:v>
      </x:c>
      <x:c r="F190" s="26" t="str">
        <x:v>تكون الصخور الرسوبية</x:v>
      </x:c>
      <x:c r="G190" s="26" t="str">
        <x:v>تطبيق</x:v>
      </x:c>
      <x:c r="H190" s="26" t="str">
        <x:v>متوسط</x:v>
      </x:c>
      <x:c r="I190" s="26" t="str">
        <x:v>اختيار من متعدد</x:v>
      </x:c>
      <x:c r="J190" s="20" t="str">
        <x:v>أي عملية تسهم مباشرة في تكوين صخر رسوبي فتاتي؟</x:v>
      </x:c>
      <x:c r="K190" s="20" t="str">
        <x:v>تراكم الرواسب ثم تضاغطها وتلاحمها</x:v>
      </x:c>
      <x:c r="L190" s="20" t="str">
        <x:v>انصهار الصخور ثم تبريدها</x:v>
      </x:c>
      <x:c r="M190" s="20" t="str">
        <x:v>تحول الصخور إلى بلازما</x:v>
      </x:c>
      <x:c r="N190" s="20" t="str">
        <x:v>اتحاد نوى ذرية</x:v>
      </x:c>
      <x:c r="O190" s="20" t="str">
        <x:v>أ</x:v>
      </x:c>
      <x:c r="P190" s="20" t="str">
        <x:v>الصخور الرسوبية الفتاتية تتكون من ترسيب الفتات ثم الضغط والتلاحم.</x:v>
      </x:c>
      <x:c r="Q190" s="26" t="str">
        <x:v>نصي</x:v>
      </x:c>
      <x:c r="R190" s="26"/>
      <x:c r="S190" s="26" t="str">
        <x:v>محاكي أصلي مستلهم من نمط نافس ومبني على ناتج تعلم رسمي</x:v>
      </x:c>
      <x:c r="T190" s="26" t="str">
        <x:v>https://media.etec.gov.sa/media/sszdnh2h/%D9%86%D9%88%D8%A7%D8%AA%D8%AC-%D8%A7%D9%84%D8%AA%D8%B9%D9%84%D9%85-2026.pdf</x:v>
      </x:c>
      <x:c r="U190" t="str">
        <x:v>هيئة تقويم التعليم والتدريب – نواتج التعلم (صياغة أصلية)</x:v>
      </x:c>
    </x:row>
    <x:row r="191" ht="54" customHeight="1">
      <x:c r="A191" s="26" t="str">
        <x:v>EARTH040</x:v>
      </x:c>
      <x:c r="B191" s="26" t="str">
        <x:v>علوم الأرض والفضاء</x:v>
      </x:c>
      <x:c r="C191" s="26" t="str">
        <x:v>علوم الأرض والفضاء</x:v>
      </x:c>
      <x:c r="D191" s="26" t="str">
        <x:v>النظام الأرضي</x:v>
      </x:c>
      <x:c r="E191" s="26" t="str">
        <x:v>5-2-3-5-9</x:v>
      </x:c>
      <x:c r="F191" s="26" t="str">
        <x:v>تكون الصخور المتحولة</x:v>
      </x:c>
      <x:c r="G191" s="26" t="str">
        <x:v>تطبيق</x:v>
      </x:c>
      <x:c r="H191" s="26" t="str">
        <x:v>متوسط</x:v>
      </x:c>
      <x:c r="I191" s="26" t="str">
        <x:v>اختيار من متعدد</x:v>
      </x:c>
      <x:c r="J191" s="20" t="str">
        <x:v>تعرض حجر جيري لحرارة وضغط دون انصهار فتحول إلى رخام. ما نوع العملية؟</x:v>
      </x:c>
      <x:c r="K191" s="20" t="str">
        <x:v>تحول صخري</x:v>
      </x:c>
      <x:c r="L191" s="20" t="str">
        <x:v>تبلور صهارة</x:v>
      </x:c>
      <x:c r="M191" s="20" t="str">
        <x:v>ترسيب فتات</x:v>
      </x:c>
      <x:c r="N191" s="20" t="str">
        <x:v>تجوية فقط</x:v>
      </x:c>
      <x:c r="O191" s="20" t="str">
        <x:v>أ</x:v>
      </x:c>
      <x:c r="P191" s="20" t="str">
        <x:v>الحرارة والضغط دون انصهار يسببان التحول الصخري.</x:v>
      </x:c>
      <x:c r="Q191" s="26" t="str">
        <x:v>نصي</x:v>
      </x:c>
      <x:c r="R191" s="26"/>
      <x:c r="S191" s="26" t="str">
        <x:v>محاكي أصلي مستلهم من نمط نافس ومبني على ناتج تعلم رسمي</x:v>
      </x:c>
      <x:c r="T191" s="26" t="str">
        <x:v>https://media.etec.gov.sa/media/sszdnh2h/%D9%86%D9%88%D8%A7%D8%AA%D8%AC-%D8%A7%D9%84%D8%AA%D8%B9%D9%84%D9%85-2026.pdf</x:v>
      </x:c>
      <x:c r="U191" t="str">
        <x:v>هيئة تقويم التعليم والتدريب – نواتج التعلم (صياغة أصلية)</x:v>
      </x:c>
    </x:row>
    <x:row r="192" ht="54" customHeight="1">
      <x:c r="A192" s="26" t="str">
        <x:v>EARTH041</x:v>
      </x:c>
      <x:c r="B192" s="26" t="str">
        <x:v>علوم الأرض والفضاء</x:v>
      </x:c>
      <x:c r="C192" s="26" t="str">
        <x:v>علوم الأرض والفضاء</x:v>
      </x:c>
      <x:c r="D192" s="26" t="str">
        <x:v>النظام الأرضي</x:v>
      </x:c>
      <x:c r="E192" s="26" t="str">
        <x:v>7-2-3-5-9</x:v>
      </x:c>
      <x:c r="F192" s="26" t="str">
        <x:v>حدود الصفائح التباعدية</x:v>
      </x:c>
      <x:c r="G192" s="26" t="str">
        <x:v>تطبيق</x:v>
      </x:c>
      <x:c r="H192" s="26" t="str">
        <x:v>متوسط</x:v>
      </x:c>
      <x:c r="I192" s="26" t="str">
        <x:v>اختيار من متعدد</x:v>
      </x:c>
      <x:c r="J192" s="20" t="str">
        <x:v>أي معلم جيولوجي يرتبط غالبًا بتباعد صفائح محيطية؟</x:v>
      </x:c>
      <x:c r="K192" s="20" t="str">
        <x:v>حيد وسط المحيط</x:v>
      </x:c>
      <x:c r="L192" s="20" t="str">
        <x:v>خندق اندساس فقط</x:v>
      </x:c>
      <x:c r="M192" s="20" t="str">
        <x:v>جبال تصادمية قارية فقط</x:v>
      </x:c>
      <x:c r="N192" s="20" t="str">
        <x:v>صدع بلا حركة</x:v>
      </x:c>
      <x:c r="O192" s="20" t="str">
        <x:v>أ</x:v>
      </x:c>
      <x:c r="P192" s="20" t="str">
        <x:v>عند تباعد الصفائح المحيطية تصعد الصهارة وتتكون قشرة جديدة عند حيد وسط المحيط.</x:v>
      </x:c>
      <x:c r="Q192" s="26" t="str">
        <x:v>نصي</x:v>
      </x:c>
      <x:c r="R192" s="26"/>
      <x:c r="S192" s="26" t="str">
        <x:v>محاكي أصلي مستلهم من نمط نافس ومبني على ناتج تعلم رسمي</x:v>
      </x:c>
      <x:c r="T192" s="26" t="str">
        <x:v>https://media.etec.gov.sa/media/sszdnh2h/%D9%86%D9%88%D8%A7%D8%AA%D8%AC-%D8%A7%D9%84%D8%AA%D8%B9%D9%84%D9%85-2026.pdf</x:v>
      </x:c>
      <x:c r="U192" t="str">
        <x:v>هيئة تقويم التعليم والتدريب – نواتج التعلم (صياغة أصلية)</x:v>
      </x:c>
    </x:row>
    <x:row r="193" ht="54" customHeight="1">
      <x:c r="A193" s="26" t="str">
        <x:v>EARTH042</x:v>
      </x:c>
      <x:c r="B193" s="26" t="str">
        <x:v>علوم الأرض والفضاء</x:v>
      </x:c>
      <x:c r="C193" s="26" t="str">
        <x:v>علوم الأرض والفضاء</x:v>
      </x:c>
      <x:c r="D193" s="26" t="str">
        <x:v>النظام الأرضي</x:v>
      </x:c>
      <x:c r="E193" s="26" t="str">
        <x:v>7-2-3-5-9</x:v>
      </x:c>
      <x:c r="F193" s="26" t="str">
        <x:v>الاندساس عند الحدود التقاربية</x:v>
      </x:c>
      <x:c r="G193" s="26" t="str">
        <x:v>استدلال</x:v>
      </x:c>
      <x:c r="H193" s="26" t="str">
        <x:v>صعب</x:v>
      </x:c>
      <x:c r="I193" s="26" t="str">
        <x:v>اختيار من متعدد</x:v>
      </x:c>
      <x:c r="J193" s="20" t="str">
        <x:v>عند تقارب صفيحة محيطية مع قارية، ماذا يحدث للصفيحة المحيطية غالبًا؟</x:v>
      </x:c>
      <x:c r="K193" s="20" t="str">
        <x:v>تندس أسفل القارية</x:v>
      </x:c>
      <x:c r="L193" s="20" t="str">
        <x:v>تصعد فوق القارية دائمًا</x:v>
      </x:c>
      <x:c r="M193" s="20" t="str">
        <x:v>تتوقف حركة الصفائح</x:v>
      </x:c>
      <x:c r="N193" s="20" t="str">
        <x:v>تتحول فورًا إلى غلاف جوي</x:v>
      </x:c>
      <x:c r="O193" s="20" t="str">
        <x:v>أ</x:v>
      </x:c>
      <x:c r="P193" s="20" t="str">
        <x:v>الصفيحة المحيطية الأكثر كثافة غالبًا تندس أسفل القارية.</x:v>
      </x:c>
      <x:c r="Q193" s="26" t="str">
        <x:v>نصي</x:v>
      </x:c>
      <x:c r="R193" s="26"/>
      <x:c r="S193" s="26" t="str">
        <x:v>محاكي أصلي مستلهم من نمط نافس ومبني على ناتج تعلم رسمي</x:v>
      </x:c>
      <x:c r="T193" s="26" t="str">
        <x:v>https://media.etec.gov.sa/media/sszdnh2h/%D9%86%D9%88%D8%A7%D8%AA%D8%AC-%D8%A7%D9%84%D8%AA%D8%B9%D9%84%D9%85-2026.pdf</x:v>
      </x:c>
      <x:c r="U193" t="str">
        <x:v>هيئة تقويم التعليم والتدريب – نواتج التعلم (صياغة أصلية)</x:v>
      </x:c>
    </x:row>
    <x:row r="194" ht="54" customHeight="1">
      <x:c r="A194" s="26" t="str">
        <x:v>EARTH043</x:v>
      </x:c>
      <x:c r="B194" s="26" t="str">
        <x:v>علوم الأرض والفضاء</x:v>
      </x:c>
      <x:c r="C194" s="26" t="str">
        <x:v>علوم الأرض والفضاء</x:v>
      </x:c>
      <x:c r="D194" s="26" t="str">
        <x:v>النظام الأرضي</x:v>
      </x:c>
      <x:c r="E194" s="26" t="str">
        <x:v>7-2-3-5-9</x:v>
      </x:c>
      <x:c r="F194" s="26" t="str">
        <x:v>حدود الصفائح التحويلية</x:v>
      </x:c>
      <x:c r="G194" s="26" t="str">
        <x:v>تطبيق</x:v>
      </x:c>
      <x:c r="H194" s="26" t="str">
        <x:v>متوسط</x:v>
      </x:c>
      <x:c r="I194" s="26" t="str">
        <x:v>اختيار من متعدد</x:v>
      </x:c>
      <x:c r="J194" s="20" t="str">
        <x:v>تتحرك صفيحتان أفقياً بمحاذاة بعضهما في اتجاهين متعاكسين. ما نوع الحد؟</x:v>
      </x:c>
      <x:c r="K194" s="20" t="str">
        <x:v>تحويلي</x:v>
      </x:c>
      <x:c r="L194" s="20" t="str">
        <x:v>تباعدي</x:v>
      </x:c>
      <x:c r="M194" s="20" t="str">
        <x:v>تقاربي</x:v>
      </x:c>
      <x:c r="N194" s="20" t="str">
        <x:v>ساكن</x:v>
      </x:c>
      <x:c r="O194" s="20" t="str">
        <x:v>أ</x:v>
      </x:c>
      <x:c r="P194" s="20" t="str">
        <x:v>الحركة الأفقية الجانبية تميز الحدود التحويلية.</x:v>
      </x:c>
      <x:c r="Q194" s="26" t="str">
        <x:v>نصي</x:v>
      </x:c>
      <x:c r="R194" s="26"/>
      <x:c r="S194" s="26" t="str">
        <x:v>محاكي أصلي مستلهم من نمط نافس ومبني على ناتج تعلم رسمي</x:v>
      </x:c>
      <x:c r="T194" s="26" t="str">
        <x:v>https://media.etec.gov.sa/media/sszdnh2h/%D9%86%D9%88%D8%A7%D8%AA%D8%AC-%D8%A7%D9%84%D8%AA%D8%B9%D9%84%D9%85-2026.pdf</x:v>
      </x:c>
      <x:c r="U194" t="str">
        <x:v>هيئة تقويم التعليم والتدريب – نواتج التعلم (صياغة أصلية)</x:v>
      </x:c>
    </x:row>
    <x:row r="195" ht="54" customHeight="1">
      <x:c r="A195" s="26" t="str">
        <x:v>EARTH044</x:v>
      </x:c>
      <x:c r="B195" s="26" t="str">
        <x:v>علوم الأرض والفضاء</x:v>
      </x:c>
      <x:c r="C195" s="26" t="str">
        <x:v>علوم الأرض والفضاء</x:v>
      </x:c>
      <x:c r="D195" s="26" t="str">
        <x:v>النظام الأرضي</x:v>
      </x:c>
      <x:c r="E195" s="26" t="str">
        <x:v>6-2-3-5-9</x:v>
      </x:c>
      <x:c r="F195" s="26" t="str">
        <x:v>سلوك الموجات S</x:v>
      </x:c>
      <x:c r="G195" s="26" t="str">
        <x:v>استدلال</x:v>
      </x:c>
      <x:c r="H195" s="26" t="str">
        <x:v>متوسط</x:v>
      </x:c>
      <x:c r="I195" s="26" t="str">
        <x:v>اختيار من متعدد</x:v>
      </x:c>
      <x:c r="J195" s="20" t="str">
        <x:v>لماذا لا تسجل الموجات الثانوية S عبور اللب الخارجي السائل؟</x:v>
      </x:c>
      <x:c r="K195" s="20" t="str">
        <x:v>لأن موجات S لا تنتقل في السوائل</x:v>
      </x:c>
      <x:c r="L195" s="20" t="str">
        <x:v>لأنها أسرع من الضوء</x:v>
      </x:c>
      <x:c r="M195" s="20" t="str">
        <x:v>لأن اللب بلا مادة</x:v>
      </x:c>
      <x:c r="N195" s="20" t="str">
        <x:v>لأنها موجات كهرومغناطيسية</x:v>
      </x:c>
      <x:c r="O195" s="20" t="str">
        <x:v>أ</x:v>
      </x:c>
      <x:c r="P195" s="20" t="str">
        <x:v>الموجات الثانوية موجات ميكانيكية قصية لا تنتقل في السوائل.</x:v>
      </x:c>
      <x:c r="Q195" s="26" t="str">
        <x:v>نصي</x:v>
      </x:c>
      <x:c r="R195" s="26"/>
      <x:c r="S195" s="26" t="str">
        <x:v>محاكي أصلي مستلهم من نمط نافس ومبني على ناتج تعلم رسمي</x:v>
      </x:c>
      <x:c r="T195" s="26" t="str">
        <x:v>https://media.etec.gov.sa/media/sszdnh2h/%D9%86%D9%88%D8%A7%D8%AA%D8%AC-%D8%A7%D9%84%D8%AA%D8%B9%D9%84%D9%85-2026.pdf</x:v>
      </x:c>
      <x:c r="U195" t="str">
        <x:v>هيئة تقويم التعليم والتدريب – نواتج التعلم (صياغة أصلية)</x:v>
      </x:c>
    </x:row>
    <x:row r="196" ht="54" customHeight="1">
      <x:c r="A196" s="26" t="str">
        <x:v>EARTH045</x:v>
      </x:c>
      <x:c r="B196" s="26" t="str">
        <x:v>علوم الأرض والفضاء</x:v>
      </x:c>
      <x:c r="C196" s="26" t="str">
        <x:v>علوم الأرض والفضاء</x:v>
      </x:c>
      <x:c r="D196" s="26" t="str">
        <x:v>النظام الأرضي</x:v>
      </x:c>
      <x:c r="E196" s="26" t="str">
        <x:v>6-2-3-5-9</x:v>
      </x:c>
      <x:c r="F196" s="26" t="str">
        <x:v>تحديد المركز السطحي بالمحطات</x:v>
      </x:c>
      <x:c r="G196" s="26" t="str">
        <x:v>استدلال</x:v>
      </x:c>
      <x:c r="H196" s="26" t="str">
        <x:v>صعب</x:v>
      </x:c>
      <x:c r="I196" s="26" t="str">
        <x:v>اختيار من متعدد</x:v>
      </x:c>
      <x:c r="J196" s="20" t="str">
        <x:v>لماذا تستخدم بيانات ثلاث محطات زلزالية على الأقل لتحديد المركز السطحي بدقة؟</x:v>
      </x:c>
      <x:c r="K196" s="20" t="str">
        <x:v>لتقاطع دوائر المسافات وتحديد نقطة واحدة</x:v>
      </x:c>
      <x:c r="L196" s="20" t="str">
        <x:v>لأن محطة واحدة تقيس كل الزلازل عالميًا</x:v>
      </x:c>
      <x:c r="M196" s="20" t="str">
        <x:v>لأن الموجات لا تصل إلا لثلاث محطات</x:v>
      </x:c>
      <x:c r="N196" s="20" t="str">
        <x:v>لقياس حرارة الصخور</x:v>
      </x:c>
      <x:c r="O196" s="20" t="str">
        <x:v>أ</x:v>
      </x:c>
      <x:c r="P196" s="20" t="str">
        <x:v>كل محطة تحدد مسافة تقريبية، وتقاطع ثلاث دوائر يساعد على تحديد الموقع.</x:v>
      </x:c>
      <x:c r="Q196" s="26" t="str">
        <x:v>خريطة</x:v>
      </x:c>
      <x:c r="R196" s="26" t="str">
        <x:v>ثلاث دوائر حول محطات زلزالية تتقاطع في نقطة واحدة</x:v>
      </x:c>
      <x:c r="S196" s="26" t="str">
        <x:v>محاكي أصلي مستلهم من نمط نافس ومبني على ناتج تعلم رسمي</x:v>
      </x:c>
      <x:c r="T196" s="26" t="str">
        <x:v>https://media.etec.gov.sa/media/sszdnh2h/%D9%86%D9%88%D8%A7%D8%AA%D8%AC-%D8%A7%D9%84%D8%AA%D8%B9%D9%84%D9%85-2026.pdf</x:v>
      </x:c>
      <x:c r="U196" t="str">
        <x:v>هيئة تقويم التعليم والتدريب – نواتج التعلم (صياغة أصلية)</x:v>
      </x:c>
    </x:row>
    <x:row r="197" ht="54" customHeight="1">
      <x:c r="A197" s="26" t="str">
        <x:v>EARTH046</x:v>
      </x:c>
      <x:c r="B197" s="26" t="str">
        <x:v>علوم الأرض والفضاء</x:v>
      </x:c>
      <x:c r="C197" s="26" t="str">
        <x:v>علوم الأرض والفضاء</x:v>
      </x:c>
      <x:c r="D197" s="26" t="str">
        <x:v>النظام الأرضي</x:v>
      </x:c>
      <x:c r="E197" s="26" t="str">
        <x:v>6-2-3-5-9</x:v>
      </x:c>
      <x:c r="F197" s="26" t="str">
        <x:v>لزوجة اللابة وشكل البركان</x:v>
      </x:c>
      <x:c r="G197" s="26" t="str">
        <x:v>استدلال</x:v>
      </x:c>
      <x:c r="H197" s="26" t="str">
        <x:v>متوسط</x:v>
      </x:c>
      <x:c r="I197" s="26" t="str">
        <x:v>اختيار من متعدد</x:v>
      </x:c>
      <x:c r="J197" s="20" t="str">
        <x:v>أي لابة تميل إلى تكوين تدفقات بعيدة وبركان قليل الانحدار؟</x:v>
      </x:c>
      <x:c r="K197" s="20" t="str">
        <x:v>لابة منخفضة اللزوجة</x:v>
      </x:c>
      <x:c r="L197" s="20" t="str">
        <x:v>لابة شديدة اللزوجة دائمًا</x:v>
      </x:c>
      <x:c r="M197" s="20" t="str">
        <x:v>صخر صلب بلا انصهار</x:v>
      </x:c>
      <x:c r="N197" s="20" t="str">
        <x:v>رماد فقط</x:v>
      </x:c>
      <x:c r="O197" s="20" t="str">
        <x:v>أ</x:v>
      </x:c>
      <x:c r="P197" s="20" t="str">
        <x:v>اللابة منخفضة اللزوجة تنساب بسهولة وتبني براكين عريضة قليلة الانحدار.</x:v>
      </x:c>
      <x:c r="Q197" s="26" t="str">
        <x:v>نصي</x:v>
      </x:c>
      <x:c r="R197" s="26"/>
      <x:c r="S197" s="26" t="str">
        <x:v>محاكي أصلي مستلهم من نمط نافس ومبني على ناتج تعلم رسمي</x:v>
      </x:c>
      <x:c r="T197" s="26" t="str">
        <x:v>https://media.etec.gov.sa/media/sszdnh2h/%D9%86%D9%88%D8%A7%D8%AA%D8%AC-%D8%A7%D9%84%D8%AA%D8%B9%D9%84%D9%85-2026.pdf</x:v>
      </x:c>
      <x:c r="U197" t="str">
        <x:v>هيئة تقويم التعليم والتدريب – نواتج التعلم (صياغة أصلية)</x:v>
      </x:c>
    </x:row>
    <x:row r="198" ht="54" customHeight="1">
      <x:c r="A198" s="26" t="str">
        <x:v>EARTH047</x:v>
      </x:c>
      <x:c r="B198" s="26" t="str">
        <x:v>علوم الأرض والفضاء</x:v>
      </x:c>
      <x:c r="C198" s="26" t="str">
        <x:v>علوم الأرض والفضاء</x:v>
      </x:c>
      <x:c r="D198" s="26" t="str">
        <x:v>الأرض والنشاط البشري</x:v>
      </x:c>
      <x:c r="E198" s="26" t="str">
        <x:v>1-3-3-5-9</x:v>
      </x:c>
      <x:c r="F198" s="26" t="str">
        <x:v>تقليل أخطار التسونامي</x:v>
      </x:c>
      <x:c r="G198" s="26" t="str">
        <x:v>تطبيق</x:v>
      </x:c>
      <x:c r="H198" s="26" t="str">
        <x:v>متوسط</x:v>
      </x:c>
      <x:c r="I198" s="26" t="str">
        <x:v>اختيار من متعدد</x:v>
      </x:c>
      <x:c r="J198" s="20" t="str">
        <x:v>أي إجراء يقلل الخطر على السكان بعد تحذير موثوق من تسونامي؟</x:v>
      </x:c>
      <x:c r="K198" s="20" t="str">
        <x:v>الانتقال سريعًا إلى مناطق مرتفعة بعيدًا عن الساحل</x:v>
      </x:c>
      <x:c r="L198" s="20" t="str">
        <x:v>الذهاب إلى الشاطئ للمشاهدة</x:v>
      </x:c>
      <x:c r="M198" s="20" t="str">
        <x:v>البقاء في القوارب الصغيرة قرب الشاطئ</x:v>
      </x:c>
      <x:c r="N198" s="20" t="str">
        <x:v>إيقاف جميع الاتصالات</x:v>
      </x:c>
      <x:c r="O198" s="20" t="str">
        <x:v>أ</x:v>
      </x:c>
      <x:c r="P198" s="20" t="str">
        <x:v>الإخلاء إلى مناطق مرتفعة وبعيدة عن الساحل يقلل التعرض لموجات التسونامي.</x:v>
      </x:c>
      <x:c r="Q198" s="26" t="str">
        <x:v>نصي</x:v>
      </x:c>
      <x:c r="R198" s="26"/>
      <x:c r="S198" s="26" t="str">
        <x:v>محاكي أصلي مستلهم من نمط نافس ومبني على ناتج تعلم رسمي</x:v>
      </x:c>
      <x:c r="T198" s="26" t="str">
        <x:v>https://media.etec.gov.sa/media/sszdnh2h/%D9%86%D9%88%D8%A7%D8%AA%D8%AC-%D8%A7%D9%84%D8%AA%D8%B9%D9%84%D9%85-2026.pdf</x:v>
      </x:c>
      <x:c r="U198" t="str">
        <x:v>هيئة تقويم التعليم والتدريب – نواتج التعلم (صياغة أصلية)</x:v>
      </x:c>
    </x:row>
    <x:row r="199" ht="54" customHeight="1">
      <x:c r="A199" s="26" t="str">
        <x:v>EARTH048</x:v>
      </x:c>
      <x:c r="B199" s="26" t="str">
        <x:v>علوم الأرض والفضاء</x:v>
      </x:c>
      <x:c r="C199" s="26" t="str">
        <x:v>علوم الأرض والفضاء</x:v>
      </x:c>
      <x:c r="D199" s="26" t="str">
        <x:v>الأرض والنشاط البشري</x:v>
      </x:c>
      <x:c r="E199" s="26" t="str">
        <x:v>2-3-3-5-9</x:v>
      </x:c>
      <x:c r="F199" s="26" t="str">
        <x:v>تمييز الموارد المتجددة</x:v>
      </x:c>
      <x:c r="G199" s="26" t="str">
        <x:v>معرفة</x:v>
      </x:c>
      <x:c r="H199" s="26" t="str">
        <x:v>سهل</x:v>
      </x:c>
      <x:c r="I199" s="26" t="str">
        <x:v>اختيار من متعدد</x:v>
      </x:c>
      <x:c r="J199" s="20" t="str">
        <x:v>أي مصدر يعد متجددًا على مقياس زمني بشري؟</x:v>
      </x:c>
      <x:c r="K199" s="20" t="str">
        <x:v>الطاقة الشمسية</x:v>
      </x:c>
      <x:c r="L199" s="20" t="str">
        <x:v>الفحم</x:v>
      </x:c>
      <x:c r="M199" s="20" t="str">
        <x:v>النفط</x:v>
      </x:c>
      <x:c r="N199" s="20" t="str">
        <x:v>الغاز الطبيعي</x:v>
      </x:c>
      <x:c r="O199" s="20" t="str">
        <x:v>أ</x:v>
      </x:c>
      <x:c r="P199" s="20" t="str">
        <x:v>الطاقة الشمسية تتجدد باستمرار مقارنة بالوقود الأحفوري المحدود.</x:v>
      </x:c>
      <x:c r="Q199" s="26" t="str">
        <x:v>نصي</x:v>
      </x:c>
      <x:c r="R199" s="26"/>
      <x:c r="S199" s="26" t="str">
        <x:v>محاكي أصلي مستلهم من نمط نافس ومبني على ناتج تعلم رسمي</x:v>
      </x:c>
      <x:c r="T199" s="26" t="str">
        <x:v>https://media.etec.gov.sa/media/sszdnh2h/%D9%86%D9%88%D8%A7%D8%AA%D8%AC-%D8%A7%D9%84%D8%AA%D8%B9%D9%84%D9%85-2026.pdf</x:v>
      </x:c>
      <x:c r="U199" t="str">
        <x:v>هيئة تقويم التعليم والتدريب – نواتج التعلم (صياغة أصلية)</x:v>
      </x:c>
    </x:row>
    <x:row r="200" ht="54" customHeight="1">
      <x:c r="A200" s="26" t="str">
        <x:v>EARTH049</x:v>
      </x:c>
      <x:c r="B200" s="26" t="str">
        <x:v>علوم الأرض والفضاء</x:v>
      </x:c>
      <x:c r="C200" s="26" t="str">
        <x:v>علوم الأرض والفضاء</x:v>
      </x:c>
      <x:c r="D200" s="26" t="str">
        <x:v>الأرض والنشاط البشري</x:v>
      </x:c>
      <x:c r="E200" s="26" t="str">
        <x:v>2-3-3-5-9</x:v>
      </x:c>
      <x:c r="F200" s="26" t="str">
        <x:v>إدارة المياه الجوفية</x:v>
      </x:c>
      <x:c r="G200" s="26" t="str">
        <x:v>استدلال</x:v>
      </x:c>
      <x:c r="H200" s="26" t="str">
        <x:v>صعب</x:v>
      </x:c>
      <x:c r="I200" s="26" t="str">
        <x:v>اختيار من متعدد</x:v>
      </x:c>
      <x:c r="J200" s="20" t="str">
        <x:v>في حوض مائي جوفي، كان الضخ السنوي أكبر من معدل التغذية لسنوات. ما النتيجة الأكثر احتمالًا؟</x:v>
      </x:c>
      <x:c r="K200" s="20" t="str">
        <x:v>انخفاض منسوب المياه الجوفية</x:v>
      </x:c>
      <x:c r="L200" s="20" t="str">
        <x:v>ارتفاع المنسوب باستمرار</x:v>
      </x:c>
      <x:c r="M200" s="20" t="str">
        <x:v>تحول الماء إلى نفط</x:v>
      </x:c>
      <x:c r="N200" s="20" t="str">
        <x:v>عدم تأثر المخزون</x:v>
      </x:c>
      <x:c r="O200" s="20" t="str">
        <x:v>أ</x:v>
      </x:c>
      <x:c r="P200" s="20" t="str">
        <x:v>عندما يتجاوز الضخ معدل التغذية ينخفض المخزون ومنسوب المياه مع الزمن.</x:v>
      </x:c>
      <x:c r="Q200" s="26" t="str">
        <x:v>نصي</x:v>
      </x:c>
      <x:c r="R200" s="26"/>
      <x:c r="S200" s="26" t="str">
        <x:v>محاكي أصلي مستلهم من نمط نافس ومبني على ناتج تعلم رسمي</x:v>
      </x:c>
      <x:c r="T200" s="26" t="str">
        <x:v>https://media.etec.gov.sa/media/sszdnh2h/%D9%86%D9%88%D8%A7%D8%AA%D8%AC-%D8%A7%D9%84%D8%AA%D8%B9%D9%84%D9%85-2026.pdf</x:v>
      </x:c>
      <x:c r="U200" t="str">
        <x:v>هيئة تقويم التعليم والتدريب – نواتج التعلم (صياغة أصلية)</x:v>
      </x:c>
    </x:row>
    <x:row r="201" ht="54" customHeight="1">
      <x:c r="A201" s="26" t="str">
        <x:v>EARTH050</x:v>
      </x:c>
      <x:c r="B201" s="26" t="str">
        <x:v>علوم الأرض والفضاء</x:v>
      </x:c>
      <x:c r="C201" s="26" t="str">
        <x:v>علوم الأرض والفضاء</x:v>
      </x:c>
      <x:c r="D201" s="26" t="str">
        <x:v>الأرض والنشاط البشري</x:v>
      </x:c>
      <x:c r="E201" s="26" t="str">
        <x:v>2-3-3-5-9</x:v>
      </x:c>
      <x:c r="F201" s="26" t="str">
        <x:v>الحد من انجراف التربة</x:v>
      </x:c>
      <x:c r="G201" s="26" t="str">
        <x:v>تطبيق</x:v>
      </x:c>
      <x:c r="H201" s="26" t="str">
        <x:v>متوسط</x:v>
      </x:c>
      <x:c r="I201" s="26" t="str">
        <x:v>اختيار من متعدد</x:v>
      </x:c>
      <x:c r="J201" s="20" t="str">
        <x:v>أي ممارسة تساعد أكثر على تقليل انجراف التربة في منحدر زراعي؟</x:v>
      </x:c>
      <x:c r="K201" s="20" t="str">
        <x:v>الحفاظ على غطاء نباتي أو مصاطب</x:v>
      </x:c>
      <x:c r="L201" s="20" t="str">
        <x:v>إزالة جميع النباتات</x:v>
      </x:c>
      <x:c r="M201" s="20" t="str">
        <x:v>زيادة جريان الماء السطحي</x:v>
      </x:c>
      <x:c r="N201" s="20" t="str">
        <x:v>ترك التربة عارية</x:v>
      </x:c>
      <x:c r="O201" s="20" t="str">
        <x:v>أ</x:v>
      </x:c>
      <x:c r="P201" s="20" t="str">
        <x:v>الغطاء النباتي والمصاطب يقللان سرعة الجريان وتعرية التربة.</x:v>
      </x:c>
      <x:c r="Q201" s="26" t="str">
        <x:v>نصي</x:v>
      </x:c>
      <x:c r="R201" s="26"/>
      <x:c r="S201" s="26" t="str">
        <x:v>محاكي أصلي مستلهم من نمط نافس ومبني على ناتج تعلم رسمي</x:v>
      </x:c>
      <x:c r="T201" s="26" t="str">
        <x:v>https://media.etec.gov.sa/media/sszdnh2h/%D9%86%D9%88%D8%A7%D8%AA%D8%AC-%D8%A7%D9%84%D8%AA%D8%B9%D9%84%D9%85-2026.pdf</x:v>
      </x:c>
      <x:c r="U201" t="str">
        <x:v>هيئة تقويم التعليم والتدريب – نواتج التعلم (صياغة أصلية)</x:v>
      </x:c>
    </x:row>
    <x:row r="202" ht="58" customHeight="1">
      <x:c r="A202" s="50" t="str">
        <x:v>BIO051</x:v>
      </x:c>
      <x:c r="B202" s="50" t="str">
        <x:v>أحياء</x:v>
      </x:c>
      <x:c r="C202" s="50" t="str">
        <x:v>علوم الحياة</x:v>
      </x:c>
      <x:c r="D202" s="50" t="str">
        <x:v>التركيب والوظيفة في المخلوقات الحية</x:v>
      </x:c>
      <x:c r="E202" s="50" t="str">
        <x:v>1-1-1-5-9</x:v>
      </x:c>
      <x:c r="F202" s="50" t="str">
        <x:v>تحليل شكل خلية متخصصة</x:v>
      </x:c>
      <x:c r="G202" s="50" t="str">
        <x:v>استدلال</x:v>
      </x:c>
      <x:c r="H202" s="50" t="str">
        <x:v>متوسط</x:v>
      </x:c>
      <x:c r="I202" s="50" t="str">
        <x:v>اختيار من متعدد</x:v>
      </x:c>
      <x:c r="J202" s="51" t="str">
        <x:v>يوضح الشكل خلية طويلة لها امتدادات متفرعة كثيرة. أي وظيفة تتناسب أكثر مع هذا التركيب؟</x:v>
      </x:c>
      <x:c r="K202" s="51" t="str">
        <x:v>نقل السيالات العصبية</x:v>
      </x:c>
      <x:c r="L202" s="51" t="str">
        <x:v>تخزين الدهون فقط</x:v>
      </x:c>
      <x:c r="M202" s="51" t="str">
        <x:v>إنتاج الأمشاج</x:v>
      </x:c>
      <x:c r="N202" s="51" t="str">
        <x:v>تكوين الجدار الخلوي</x:v>
      </x:c>
      <x:c r="O202" s="51" t="str">
        <x:v>أ</x:v>
      </x:c>
      <x:c r="P202" s="51" t="str">
        <x:v>الامتدادات الكثيرة والطويلة تلائم استقبال ونقل السيالات العصبية.</x:v>
      </x:c>
      <x:c r="Q202" s="50" t="str">
        <x:v>صورة</x:v>
      </x:c>
      <x:c r="R202" s="50" t="str">
        <x:v>خلية عصبية مبسطة ذات جسم خلوي وتفرعات ومحور طويل</x:v>
      </x:c>
      <x:c r="S202" s="50" t="str">
        <x:v>محاكي أصلي بعد مراجعة مصادر نافس المنشورة</x:v>
      </x:c>
      <x:c r="T202" s="50" t="str">
        <x:v>https://eservices.etec.gov.sa/ar/programs/nafs</x:v>
      </x:c>
      <x:c r="U202" s="50" t="str">
        <x:v>هيئة تقويم التعليم والتدريب – نمط السؤال البصري</x:v>
      </x:c>
    </x:row>
    <x:row r="203" ht="58" customHeight="1">
      <x:c r="A203" s="50" t="str">
        <x:v>BIO052</x:v>
      </x:c>
      <x:c r="B203" s="50" t="str">
        <x:v>أحياء</x:v>
      </x:c>
      <x:c r="C203" s="50" t="str">
        <x:v>علوم الحياة</x:v>
      </x:c>
      <x:c r="D203" s="50" t="str">
        <x:v>التركيب والوظيفة في المخلوقات الحية</x:v>
      </x:c>
      <x:c r="E203" s="50" t="str">
        <x:v>1-1-1-5-9</x:v>
      </x:c>
      <x:c r="F203" s="50" t="str">
        <x:v>تحليل بيانات نقل المواد عبر الغشاء</x:v>
      </x:c>
      <x:c r="G203" s="50" t="str">
        <x:v>استدلال</x:v>
      </x:c>
      <x:c r="H203" s="50" t="str">
        <x:v>صعب</x:v>
      </x:c>
      <x:c r="I203" s="50" t="str">
        <x:v>اختيار من متعدد</x:v>
      </x:c>
      <x:c r="J203" s="51" t="str">
        <x:v>يبين جدول أن المادة س دخلت الخلية دون استهلاك طاقة، بينما دخلت المادة ص مع استهلاك طاقة. أي استنتاج أدق؟</x:v>
      </x:c>
      <x:c r="K203" s="51" t="str">
        <x:v>س قد تنتقل نقلًا سلبيًا، وص قد تنتقل نقلًا نشطًا</x:v>
      </x:c>
      <x:c r="L203" s="51" t="str">
        <x:v>س وص تنتقلان بالطريقة نفسها حتمًا</x:v>
      </x:c>
      <x:c r="M203" s="51" t="str">
        <x:v>ص لا تعبر الغشاء</x:v>
      </x:c>
      <x:c r="N203" s="51" t="str">
        <x:v>س تحتاج ATP دائمًا</x:v>
      </x:c>
      <x:c r="O203" s="51" t="str">
        <x:v>أ</x:v>
      </x:c>
      <x:c r="P203" s="51" t="str">
        <x:v>النقل السلبي لا يحتاج طاقة، بينما النقل النشط يحتاج طاقة خلوية.</x:v>
      </x:c>
      <x:c r="Q203" s="50" t="str">
        <x:v>جدول</x:v>
      </x:c>
      <x:c r="R203" s="50" t="str">
        <x:v>جدول يقارن مادتين في اتجاه الحركة واستهلاك الطاقة</x:v>
      </x:c>
      <x:c r="S203" s="50" t="str">
        <x:v>محاكي أصلي بعد مراجعة مصادر نافس المنشورة</x:v>
      </x:c>
      <x:c r="T203" s="50" t="str">
        <x:v>https://eservices.etec.gov.sa/ar/programs/nafs</x:v>
      </x:c>
      <x:c r="U203" s="50" t="str">
        <x:v>nafs.pro – مراجعة نمط الأسئلة المرتبطة بالمعايير</x:v>
      </x:c>
    </x:row>
    <x:row r="204" ht="58" customHeight="1">
      <x:c r="A204" s="50" t="str">
        <x:v>BIO053</x:v>
      </x:c>
      <x:c r="B204" s="50" t="str">
        <x:v>أحياء</x:v>
      </x:c>
      <x:c r="C204" s="50" t="str">
        <x:v>علوم الحياة</x:v>
      </x:c>
      <x:c r="D204" s="50" t="str">
        <x:v>أجهزة جسم الإنسان</x:v>
      </x:c>
      <x:c r="E204" s="50" t="str">
        <x:v>3-1-1-5-9</x:v>
      </x:c>
      <x:c r="F204" s="50" t="str">
        <x:v>ربط الجهازين الدوري والتنفسي</x:v>
      </x:c>
      <x:c r="G204" s="50" t="str">
        <x:v>استدلال</x:v>
      </x:c>
      <x:c r="H204" s="50" t="str">
        <x:v>متوسط</x:v>
      </x:c>
      <x:c r="I204" s="50" t="str">
        <x:v>اختيار من متعدد</x:v>
      </x:c>
      <x:c r="J204" s="51" t="str">
        <x:v>إذا انخفضت كفاءة الرئتين في تبادل الغازات، فأي تغير يتوقع حدوثه مباشرة في الدم الخارج من الرئتين؟</x:v>
      </x:c>
      <x:c r="K204" s="51" t="str">
        <x:v>انخفاض كمية الأكسجين</x:v>
      </x:c>
      <x:c r="L204" s="51" t="str">
        <x:v>ارتفاع عدد العظام</x:v>
      </x:c>
      <x:c r="M204" s="51" t="str">
        <x:v>زيادة الجلوكوز حتمًا</x:v>
      </x:c>
      <x:c r="N204" s="51" t="str">
        <x:v>اختفاء الصفائح الدموية</x:v>
      </x:c>
      <x:c r="O204" s="51" t="str">
        <x:v>أ</x:v>
      </x:c>
      <x:c r="P204" s="51" t="str">
        <x:v>الرئتان تزودان الدم بالأكسجين؛ فانخفاض كفاءتهما يقلل الأكسجين في الدم الخارج منهما.</x:v>
      </x:c>
      <x:c r="Q204" s="50" t="str">
        <x:v>رسم</x:v>
      </x:c>
      <x:c r="R204" s="50" t="str">
        <x:v>مخطط مبسط للرئتين والقلب واتجاه الدم</x:v>
      </x:c>
      <x:c r="S204" s="50" t="str">
        <x:v>محاكي أصلي بعد مراجعة مصادر نافس المنشورة</x:v>
      </x:c>
      <x:c r="T204" s="50" t="str">
        <x:v>https://eservices.etec.gov.sa/ar/programs/nafs</x:v>
      </x:c>
      <x:c r="U204" s="50" t="str">
        <x:v>ami.sa – مراجعة نمط الأسئلة الموقفية</x:v>
      </x:c>
    </x:row>
    <x:row r="205" ht="58" customHeight="1">
      <x:c r="A205" s="50" t="str">
        <x:v>BIO054</x:v>
      </x:c>
      <x:c r="B205" s="50" t="str">
        <x:v>أحياء</x:v>
      </x:c>
      <x:c r="C205" s="50" t="str">
        <x:v>علوم الحياة</x:v>
      </x:c>
      <x:c r="D205" s="50" t="str">
        <x:v>أجهزة جسم الإنسان</x:v>
      </x:c>
      <x:c r="E205" s="50" t="str">
        <x:v>3-1-1-5-9</x:v>
      </x:c>
      <x:c r="F205" s="50" t="str">
        <x:v>تحليل استجابة الجسم للحرارة</x:v>
      </x:c>
      <x:c r="G205" s="50" t="str">
        <x:v>استدلال</x:v>
      </x:c>
      <x:c r="H205" s="50" t="str">
        <x:v>متوسط</x:v>
      </x:c>
      <x:c r="I205" s="50" t="str">
        <x:v>اختيار من متعدد</x:v>
      </x:c>
      <x:c r="J205" s="51" t="str">
        <x:v>عند ارتفاع درجة حرارة الجسم يزداد التعرق وتتسع أوعية الجلد. ما الهدف الرئيس من هاتين الاستجابتين؟</x:v>
      </x:c>
      <x:c r="K205" s="51" t="str">
        <x:v>المساعدة على خفض درجة حرارة الجسم</x:v>
      </x:c>
      <x:c r="L205" s="51" t="str">
        <x:v>زيادة إنتاج الحرارة</x:v>
      </x:c>
      <x:c r="M205" s="51" t="str">
        <x:v>إيقاف الدورة الدموية</x:v>
      </x:c>
      <x:c r="N205" s="51" t="str">
        <x:v>رفع سكر الدم مباشرة</x:v>
      </x:c>
      <x:c r="O205" s="51" t="str">
        <x:v>أ</x:v>
      </x:c>
      <x:c r="P205" s="51" t="str">
        <x:v>التعرق وتوسع أوعية الجلد يزيدان فقد الحرارة ويساعدان على الاتزان الداخلي.</x:v>
      </x:c>
      <x:c r="Q205" s="50" t="str">
        <x:v>نصي</x:v>
      </x:c>
      <x:c r="R205" s="50"/>
      <x:c r="S205" s="50" t="str">
        <x:v>محاكي أصلي بعد مراجعة مصادر نافس المنشورة</x:v>
      </x:c>
      <x:c r="T205" s="50" t="str">
        <x:v>https://eservices.etec.gov.sa/ar/programs/nafs</x:v>
      </x:c>
      <x:c r="U205" s="50" t="str">
        <x:v>هيئة تقويم التعليم والتدريب – نواتج التعلم ونماذج التهيئة</x:v>
      </x:c>
    </x:row>
    <x:row r="206" ht="58" customHeight="1">
      <x:c r="A206" s="50" t="str">
        <x:v>BIO055</x:v>
      </x:c>
      <x:c r="B206" s="50" t="str">
        <x:v>أحياء</x:v>
      </x:c>
      <x:c r="C206" s="50" t="str">
        <x:v>علوم الحياة</x:v>
      </x:c>
      <x:c r="D206" s="50" t="str">
        <x:v>الوراثة</x:v>
      </x:c>
      <x:c r="E206" s="50" t="str">
        <x:v>1-4-1-5-9</x:v>
      </x:c>
      <x:c r="F206" s="50" t="str">
        <x:v>تحليل احتمال وراثي من جدول</x:v>
      </x:c>
      <x:c r="G206" s="50" t="str">
        <x:v>استدلال</x:v>
      </x:c>
      <x:c r="H206" s="50" t="str">
        <x:v>صعب</x:v>
      </x:c>
      <x:c r="I206" s="50" t="str">
        <x:v>اختيار من متعدد</x:v>
      </x:c>
      <x:c r="J206" s="51" t="str">
        <x:v>صفة متنحية يرمز لها بـ a. إذا كان الأب Aa والأم aa، فأي نسبة متوقعة للأبناء ذوي الطراز aa؟</x:v>
      </x:c>
      <x:c r="K206" s="51" t="str">
        <x:v>0%</x:v>
      </x:c>
      <x:c r="L206" s="51" t="str">
        <x:v>25%</x:v>
      </x:c>
      <x:c r="M206" s="51" t="str">
        <x:v>50%</x:v>
      </x:c>
      <x:c r="N206" s="51" t="str">
        <x:v>100%</x:v>
      </x:c>
      <x:c r="O206" s="51" t="str">
        <x:v>ج</x:v>
      </x:c>
      <x:c r="P206" s="51" t="str">
        <x:v>الأب يعطي A أو a، والأم تعطي a فقط؛ نصف النسل Aa ونصفه aa.</x:v>
      </x:c>
      <x:c r="Q206" s="50" t="str">
        <x:v>جدول</x:v>
      </x:c>
      <x:c r="R206" s="50" t="str">
        <x:v>مربع بانيت 2×2 للتهجين Aa × aa</x:v>
      </x:c>
      <x:c r="S206" s="50" t="str">
        <x:v>محاكي أصلي بعد مراجعة مصادر نافس المنشورة</x:v>
      </x:c>
      <x:c r="T206" s="50" t="str">
        <x:v>https://eservices.etec.gov.sa/ar/programs/nafs</x:v>
      </x:c>
      <x:c r="U206" s="50" t="str">
        <x:v>nafs.pro – مراجعة تغطية موضوعات الوراثة</x:v>
      </x:c>
    </x:row>
    <x:row r="207" ht="58" customHeight="1">
      <x:c r="A207" s="50" t="str">
        <x:v>BIO056</x:v>
      </x:c>
      <x:c r="B207" s="50" t="str">
        <x:v>أحياء</x:v>
      </x:c>
      <x:c r="C207" s="50" t="str">
        <x:v>علوم الحياة</x:v>
      </x:c>
      <x:c r="D207" s="50" t="str">
        <x:v>الوراثة</x:v>
      </x:c>
      <x:c r="E207" s="50" t="str">
        <x:v>2-4-1-5-9</x:v>
      </x:c>
      <x:c r="F207" s="50" t="str">
        <x:v>العلاقة بين الجين والبروتين والصفة</x:v>
      </x:c>
      <x:c r="G207" s="50" t="str">
        <x:v>استدلال</x:v>
      </x:c>
      <x:c r="H207" s="50" t="str">
        <x:v>متوسط</x:v>
      </x:c>
      <x:c r="I207" s="50" t="str">
        <x:v>اختيار من متعدد</x:v>
      </x:c>
      <x:c r="J207" s="51" t="str">
        <x:v>حدث تغير في جين مسؤول عن بروتين إنزيمي. أي تسلسل يوضح الأثر المحتمل بصورة أفضل؟</x:v>
      </x:c>
      <x:c r="K207" s="51" t="str">
        <x:v>تغير الجين ← تغير البروتين ← تغير الصفة</x:v>
      </x:c>
      <x:c r="L207" s="51" t="str">
        <x:v>تغير الصفة ← اختفاء DNA دائمًا</x:v>
      </x:c>
      <x:c r="M207" s="51" t="str">
        <x:v>تغير البروتين ← زيادة عدد الكروموسومات حتمًا</x:v>
      </x:c>
      <x:c r="N207" s="51" t="str">
        <x:v>لا توجد علاقة</x:v>
      </x:c>
      <x:c r="O207" s="51" t="str">
        <x:v>أ</x:v>
      </x:c>
      <x:c r="P207" s="51" t="str">
        <x:v>الجين يوجه تصنيع البروتين، وقد ينعكس تغير البروتين على الصفة.</x:v>
      </x:c>
      <x:c r="Q207" s="50" t="str">
        <x:v>رسم</x:v>
      </x:c>
      <x:c r="R207" s="50" t="str">
        <x:v>سهم متسلسل: DNA → جين → بروتين → صفة</x:v>
      </x:c>
      <x:c r="S207" s="50" t="str">
        <x:v>محاكي أصلي بعد مراجعة مصادر نافس المنشورة</x:v>
      </x:c>
      <x:c r="T207" s="50" t="str">
        <x:v>https://eservices.etec.gov.sa/ar/programs/nafs</x:v>
      </x:c>
      <x:c r="U207" s="50" t="str">
        <x:v>هيئة تقويم التعليم والتدريب – نواتج التعلم ونماذج التهيئة</x:v>
      </x:c>
    </x:row>
    <x:row r="208" ht="58" customHeight="1">
      <x:c r="A208" s="50" t="str">
        <x:v>BIO057</x:v>
      </x:c>
      <x:c r="B208" s="50" t="str">
        <x:v>أحياء</x:v>
      </x:c>
      <x:c r="C208" s="50" t="str">
        <x:v>علوم الحياة</x:v>
      </x:c>
      <x:c r="D208" s="50" t="str">
        <x:v>الأنظمة البيئية وتفاعلاتها</x:v>
      </x:c>
      <x:c r="E208" s="50" t="str">
        <x:v>3-3-1-5-9</x:v>
      </x:c>
      <x:c r="F208" s="50" t="str">
        <x:v>تحليل شبكة غذائية</x:v>
      </x:c>
      <x:c r="G208" s="50" t="str">
        <x:v>استدلال</x:v>
      </x:c>
      <x:c r="H208" s="50" t="str">
        <x:v>صعب</x:v>
      </x:c>
      <x:c r="I208" s="50" t="str">
        <x:v>اختيار من متعدد</x:v>
      </x:c>
      <x:c r="J208" s="51" t="str">
        <x:v>في شبكة غذائية انخفض عدد النباتات بشدة بسبب الجفاف. أي مجموعة ستتأثر أولًا غالبًا؟</x:v>
      </x:c>
      <x:c r="K208" s="51" t="str">
        <x:v>المستهلكات الأولية التي تعتمد على النباتات</x:v>
      </x:c>
      <x:c r="L208" s="51" t="str">
        <x:v>المحللات فقط دون غيرها</x:v>
      </x:c>
      <x:c r="M208" s="51" t="str">
        <x:v>المفترسات العليا فقط مباشرة</x:v>
      </x:c>
      <x:c r="N208" s="51" t="str">
        <x:v>لا تتأثر أي جماعة</x:v>
      </x:c>
      <x:c r="O208" s="51" t="str">
        <x:v>أ</x:v>
      </x:c>
      <x:c r="P208" s="51" t="str">
        <x:v>المستهلكات الأولية تعتمد مباشرة على المنتجات، لذا يظهر أثر نقص النباتات عليها أولًا.</x:v>
      </x:c>
      <x:c r="Q208" s="50" t="str">
        <x:v>صورة</x:v>
      </x:c>
      <x:c r="R208" s="50" t="str">
        <x:v>شبكة غذائية: نباتات ← حشرات/أرانب ← طيور/ثعالب</x:v>
      </x:c>
      <x:c r="S208" s="50" t="str">
        <x:v>محاكي أصلي بعد مراجعة مصادر نافس المنشورة</x:v>
      </x:c>
      <x:c r="T208" s="50" t="str">
        <x:v>https://eservices.etec.gov.sa/ar/programs/nafs</x:v>
      </x:c>
      <x:c r="U208" s="50" t="str">
        <x:v>هيئة تقويم التعليم والتدريب – نمط الاستدلال من الرسوم</x:v>
      </x:c>
    </x:row>
    <x:row r="209" ht="58" customHeight="1">
      <x:c r="A209" s="50" t="str">
        <x:v>BIO058</x:v>
      </x:c>
      <x:c r="B209" s="50" t="str">
        <x:v>أحياء</x:v>
      </x:c>
      <x:c r="C209" s="50" t="str">
        <x:v>علوم الحياة</x:v>
      </x:c>
      <x:c r="D209" s="50" t="str">
        <x:v>الأنظمة البيئية وتفاعلاتها</x:v>
      </x:c>
      <x:c r="E209" s="50" t="str">
        <x:v>5-3-1-5-9</x:v>
      </x:c>
      <x:c r="F209" s="50" t="str">
        <x:v>تحليل أثر عامل محدد</x:v>
      </x:c>
      <x:c r="G209" s="50" t="str">
        <x:v>استدلال</x:v>
      </x:c>
      <x:c r="H209" s="50" t="str">
        <x:v>متوسط</x:v>
      </x:c>
      <x:c r="I209" s="50" t="str">
        <x:v>اختيار من متعدد</x:v>
      </x:c>
      <x:c r="J209" s="51" t="str">
        <x:v>يوضح الرسم ازدياد عدد الأسماك في بحيرة ثم انخفاضها بعد نقص الأكسجين الذائب. ما العامل المحدد الأوضح؟</x:v>
      </x:c>
      <x:c r="K209" s="51" t="str">
        <x:v>الأكسجين الذائب</x:v>
      </x:c>
      <x:c r="L209" s="51" t="str">
        <x:v>لون الماء</x:v>
      </x:c>
      <x:c r="M209" s="51" t="str">
        <x:v>شكل البحيرة</x:v>
      </x:c>
      <x:c r="N209" s="51" t="str">
        <x:v>عدد الصخور على الشاطئ</x:v>
      </x:c>
      <x:c r="O209" s="51" t="str">
        <x:v>أ</x:v>
      </x:c>
      <x:c r="P209" s="51" t="str">
        <x:v>نقص الأكسجين مورد بيئي مباشر يمكن أن يحد أعداد الأسماك.</x:v>
      </x:c>
      <x:c r="Q209" s="50" t="str">
        <x:v>رسم بياني</x:v>
      </x:c>
      <x:c r="R209" s="50" t="str">
        <x:v>منحنيان عبر الزمن: عدد الأسماك والأكسجين الذائب</x:v>
      </x:c>
      <x:c r="S209" s="50" t="str">
        <x:v>محاكي أصلي بعد مراجعة مصادر نافس المنشورة</x:v>
      </x:c>
      <x:c r="T209" s="50" t="str">
        <x:v>https://eservices.etec.gov.sa/ar/programs/nafs</x:v>
      </x:c>
      <x:c r="U209" s="50" t="str">
        <x:v>ami.sa – مراجعة نمط تحليل العلاقات بين متغيرات</x:v>
      </x:c>
    </x:row>
    <x:row r="210" ht="58" customHeight="1">
      <x:c r="A210" s="50" t="str">
        <x:v>BIO059</x:v>
      </x:c>
      <x:c r="B210" s="50" t="str">
        <x:v>أحياء</x:v>
      </x:c>
      <x:c r="C210" s="50" t="str">
        <x:v>علوم الحياة</x:v>
      </x:c>
      <x:c r="D210" s="50" t="str">
        <x:v>تنظيم المخلوقات الحية وتنوعها</x:v>
      </x:c>
      <x:c r="E210" s="50" t="str">
        <x:v>1-2-1-5-9</x:v>
      </x:c>
      <x:c r="F210" s="50" t="str">
        <x:v>الاستدلال من صفات مشتركة</x:v>
      </x:c>
      <x:c r="G210" s="50" t="str">
        <x:v>استدلال</x:v>
      </x:c>
      <x:c r="H210" s="50" t="str">
        <x:v>متوسط</x:v>
      </x:c>
      <x:c r="I210" s="50" t="str">
        <x:v>اختيار من متعدد</x:v>
      </x:c>
      <x:c r="J210" s="51" t="str">
        <x:v>يعرض جدول أربعة مخلوقات وسبع صفات. يشترك المخلوقان أ وب في ست صفات، وأ وج في ثلاث فقط. أي استنتاج أدق؟</x:v>
      </x:c>
      <x:c r="K210" s="51" t="str">
        <x:v>أ وب أقرب تصنيفيًا غالبًا</x:v>
      </x:c>
      <x:c r="L210" s="51" t="str">
        <x:v>أ وج أقرب دائمًا</x:v>
      </x:c>
      <x:c r="M210" s="51" t="str">
        <x:v>ج وب متطابقان</x:v>
      </x:c>
      <x:c r="N210" s="51" t="str">
        <x:v>عدد الصفات لا يفيد في التصنيف</x:v>
      </x:c>
      <x:c r="O210" s="51" t="str">
        <x:v>أ</x:v>
      </x:c>
      <x:c r="P210" s="51" t="str">
        <x:v>زيادة التشابه في الصفات الأساسية تدعم تقاربًا تصنيفيًا أكبر.</x:v>
      </x:c>
      <x:c r="Q210" s="50" t="str">
        <x:v>جدول</x:v>
      </x:c>
      <x:c r="R210" s="50" t="str">
        <x:v>جدول صفات بعلامات ✓ لأربعة مخلوقات</x:v>
      </x:c>
      <x:c r="S210" s="50" t="str">
        <x:v>محاكي أصلي بعد مراجعة مصادر نافس المنشورة</x:v>
      </x:c>
      <x:c r="T210" s="50" t="str">
        <x:v>https://eservices.etec.gov.sa/ar/programs/nafs</x:v>
      </x:c>
      <x:c r="U210" s="50" t="str">
        <x:v>هيئة تقويم التعليم والتدريب – نمط الجداول والاستنتاج</x:v>
      </x:c>
    </x:row>
    <x:row r="211" ht="58" customHeight="1">
      <x:c r="A211" s="50" t="str">
        <x:v>BIO060</x:v>
      </x:c>
      <x:c r="B211" s="50" t="str">
        <x:v>أحياء</x:v>
      </x:c>
      <x:c r="C211" s="50" t="str">
        <x:v>علوم الحياة</x:v>
      </x:c>
      <x:c r="D211" s="50" t="str">
        <x:v>دورة الخلية والانقسام</x:v>
      </x:c>
      <x:c r="E211" s="50" t="str">
        <x:v>2-1-1-5-9</x:v>
      </x:c>
      <x:c r="F211" s="50" t="str">
        <x:v>تحليل أثر خلل الانقسام</x:v>
      </x:c>
      <x:c r="G211" s="50" t="str">
        <x:v>استدلال</x:v>
      </x:c>
      <x:c r="H211" s="50" t="str">
        <x:v>صعب</x:v>
      </x:c>
      <x:c r="I211" s="50" t="str">
        <x:v>اختيار من متعدد</x:v>
      </x:c>
      <x:c r="J211" s="51" t="str">
        <x:v>إذا لم تنفصل الكروموسومات بصورة صحيحة أثناء انقسام خلية، فأي نتيجة محتملة؟</x:v>
      </x:c>
      <x:c r="K211" s="51" t="str">
        <x:v>خلايا ناتجة بأعداد غير طبيعية من الكروموسومات</x:v>
      </x:c>
      <x:c r="L211" s="51" t="str">
        <x:v>تكوّن جدار خلوي في جميع الخلايا</x:v>
      </x:c>
      <x:c r="M211" s="51" t="str">
        <x:v>توقف انتشار المواد في الغشاء دائمًا</x:v>
      </x:c>
      <x:c r="N211" s="51" t="str">
        <x:v>تحول الخلية إلى نسيج مباشرة</x:v>
      </x:c>
      <x:c r="O211" s="51" t="str">
        <x:v>أ</x:v>
      </x:c>
      <x:c r="P211" s="51" t="str">
        <x:v>فشل انفصال الكروموسومات قد ينتج خلايا بعدد كروموسومات غير طبيعي.</x:v>
      </x:c>
      <x:c r="Q211" s="50" t="str">
        <x:v>صورة</x:v>
      </x:c>
      <x:c r="R211" s="50" t="str">
        <x:v>مخطط انقسام يوضح عدم انفصال زوج من الكروموسومات</x:v>
      </x:c>
      <x:c r="S211" s="50" t="str">
        <x:v>محاكي أصلي بعد مراجعة مصادر نافس المنشورة</x:v>
      </x:c>
      <x:c r="T211" s="50" t="str">
        <x:v>https://eservices.etec.gov.sa/ar/programs/nafs</x:v>
      </x:c>
      <x:c r="U211" s="50" t="str">
        <x:v>nafs.pro – مراجعة تغطية الانقسام والوراثة</x:v>
      </x:c>
    </x:row>
    <x:row r="212" ht="58" customHeight="1">
      <x:c r="A212" s="52" t="str">
        <x:v>CHEM051</x:v>
      </x:c>
      <x:c r="B212" s="52" t="str">
        <x:v>كيمياء</x:v>
      </x:c>
      <x:c r="C212" s="52" t="str">
        <x:v>العلوم الفيزيائية</x:v>
      </x:c>
      <x:c r="D212" s="52" t="str">
        <x:v>المادة وتفاعلاتها</x:v>
      </x:c>
      <x:c r="E212" s="52" t="str">
        <x:v>1-1-2-5-9</x:v>
      </x:c>
      <x:c r="F212" s="52" t="str">
        <x:v>تحليل نموذج ذري</x:v>
      </x:c>
      <x:c r="G212" s="52" t="str">
        <x:v>تطبيق</x:v>
      </x:c>
      <x:c r="H212" s="52" t="str">
        <x:v>متوسط</x:v>
      </x:c>
      <x:c r="I212" s="52" t="str">
        <x:v>اختيار من متعدد</x:v>
      </x:c>
      <x:c r="J212" s="51" t="str">
        <x:v>يوضح النموذج ذرة بها 17 بروتونًا و18 إلكترونًا. ما وصفها الصحيح؟</x:v>
      </x:c>
      <x:c r="K212" s="51" t="str">
        <x:v>أيون سالب بشحنة -1</x:v>
      </x:c>
      <x:c r="L212" s="51" t="str">
        <x:v>أيون موجب +1</x:v>
      </x:c>
      <x:c r="M212" s="51" t="str">
        <x:v>ذرة متعادلة</x:v>
      </x:c>
      <x:c r="N212" s="51" t="str">
        <x:v>نظير دون شحنة</x:v>
      </x:c>
      <x:c r="O212" s="51" t="str">
        <x:v>أ</x:v>
      </x:c>
      <x:c r="P212" s="51" t="str">
        <x:v>وجود إلكترون إضافي مقارنة بالبروتونات يعطي شحنة كلية -1.</x:v>
      </x:c>
      <x:c r="Q212" s="52" t="str">
        <x:v>صورة</x:v>
      </x:c>
      <x:c r="R212" s="52" t="str">
        <x:v>نموذج ذري رمزي يوضح عدد البروتونات والإلكترونات</x:v>
      </x:c>
      <x:c r="S212" s="52" t="str">
        <x:v>محاكي أصلي بعد مراجعة مصادر نافس المنشورة</x:v>
      </x:c>
      <x:c r="T212" s="52" t="str">
        <x:v>https://eservices.etec.gov.sa/ar/programs/nafs</x:v>
      </x:c>
      <x:c r="U212" s="52" t="str">
        <x:v>هيئة تقويم التعليم والتدريب – نمط السؤال البصري</x:v>
      </x:c>
    </x:row>
    <x:row r="213" ht="58" customHeight="1">
      <x:c r="A213" s="52" t="str">
        <x:v>CHEM052</x:v>
      </x:c>
      <x:c r="B213" s="52" t="str">
        <x:v>كيمياء</x:v>
      </x:c>
      <x:c r="C213" s="52" t="str">
        <x:v>العلوم الفيزيائية</x:v>
      </x:c>
      <x:c r="D213" s="52" t="str">
        <x:v>المادة وتفاعلاتها</x:v>
      </x:c>
      <x:c r="E213" s="52" t="str">
        <x:v>5-1-2-5-9</x:v>
      </x:c>
      <x:c r="F213" s="52" t="str">
        <x:v>تحليل جزء من الجدول الدوري</x:v>
      </x:c>
      <x:c r="G213" s="52" t="str">
        <x:v>استدلال</x:v>
      </x:c>
      <x:c r="H213" s="52" t="str">
        <x:v>متوسط</x:v>
      </x:c>
      <x:c r="I213" s="52" t="str">
        <x:v>اختيار من متعدد</x:v>
      </x:c>
      <x:c r="J213" s="51" t="str">
        <x:v>في جزء من الجدول الدوري يقع العنصر س فوق العنصر ص في المجموعة نفسها. أي خاصية يتوقع تشابهها أكثر؟</x:v>
      </x:c>
      <x:c r="K213" s="51" t="str">
        <x:v>عدد إلكترونات التكافؤ</x:v>
      </x:c>
      <x:c r="L213" s="51" t="str">
        <x:v>العدد الذري</x:v>
      </x:c>
      <x:c r="M213" s="51" t="str">
        <x:v>عدد مستويات الطاقة</x:v>
      </x:c>
      <x:c r="N213" s="51" t="str">
        <x:v>الكتلة الذرية تمامًا</x:v>
      </x:c>
      <x:c r="O213" s="51" t="str">
        <x:v>أ</x:v>
      </x:c>
      <x:c r="P213" s="51" t="str">
        <x:v>عناصر المجموعة الواحدة تتشابه غالبًا في إلكترونات التكافؤ والخواص الكيميائية.</x:v>
      </x:c>
      <x:c r="Q213" s="52" t="str">
        <x:v>صورة</x:v>
      </x:c>
      <x:c r="R213" s="52" t="str">
        <x:v>جزء مبسط من الجدول الدوري بعنصرين في عمود واحد</x:v>
      </x:c>
      <x:c r="S213" s="52" t="str">
        <x:v>محاكي أصلي بعد مراجعة مصادر نافس المنشورة</x:v>
      </x:c>
      <x:c r="T213" s="52" t="str">
        <x:v>https://eservices.etec.gov.sa/ar/programs/nafs</x:v>
      </x:c>
      <x:c r="U213" s="52" t="str">
        <x:v>nafs.pro – مراجعة تغطية الجدول الدوري</x:v>
      </x:c>
    </x:row>
    <x:row r="214" ht="58" customHeight="1">
      <x:c r="A214" s="52" t="str">
        <x:v>CHEM053</x:v>
      </x:c>
      <x:c r="B214" s="52" t="str">
        <x:v>كيمياء</x:v>
      </x:c>
      <x:c r="C214" s="52" t="str">
        <x:v>العلوم الفيزيائية</x:v>
      </x:c>
      <x:c r="D214" s="52" t="str">
        <x:v>المادة وتفاعلاتها</x:v>
      </x:c>
      <x:c r="E214" s="52" t="str">
        <x:v>7-1-2-5-9</x:v>
      </x:c>
      <x:c r="F214" s="52" t="str">
        <x:v>استنتاج نوع الرابطة من الخواص</x:v>
      </x:c>
      <x:c r="G214" s="52" t="str">
        <x:v>استدلال</x:v>
      </x:c>
      <x:c r="H214" s="52" t="str">
        <x:v>صعب</x:v>
      </x:c>
      <x:c r="I214" s="52" t="str">
        <x:v>اختيار من متعدد</x:v>
      </x:c>
      <x:c r="J214" s="51" t="str">
        <x:v>مادة صلبة بلورية عالية الانصهار، وتوصل الكهرباء عند ذوبانها في الماء ولا توصلها وهي صلبة. أي نوع ارتباط يرجح؟</x:v>
      </x:c>
      <x:c r="K214" s="51" t="str">
        <x:v>أيونية</x:v>
      </x:c>
      <x:c r="L214" s="51" t="str">
        <x:v>تساهمية جزيئية فقط</x:v>
      </x:c>
      <x:c r="M214" s="51" t="str">
        <x:v>فلزية</x:v>
      </x:c>
      <x:c r="N214" s="51" t="str">
        <x:v>لا توجد روابط</x:v>
      </x:c>
      <x:c r="O214" s="51" t="str">
        <x:v>أ</x:v>
      </x:c>
      <x:c r="P214" s="51" t="str">
        <x:v>هذه صفات نموذجية لكثير من المركبات الأيونية؛ الأيونات تصبح حرة الحركة في المحلول.</x:v>
      </x:c>
      <x:c r="Q214" s="52" t="str">
        <x:v>جدول</x:v>
      </x:c>
      <x:c r="R214" s="52" t="str">
        <x:v>جدول خواص: الحالة، الانصهار، التوصيل صلبًا وفي المحلول</x:v>
      </x:c>
      <x:c r="S214" s="52" t="str">
        <x:v>محاكي أصلي بعد مراجعة مصادر نافس المنشورة</x:v>
      </x:c>
      <x:c r="T214" s="52" t="str">
        <x:v>https://eservices.etec.gov.sa/ar/programs/nafs</x:v>
      </x:c>
      <x:c r="U214" s="52" t="str">
        <x:v>ami.sa – مراجعة نمط الاستنتاج من الخواص</x:v>
      </x:c>
    </x:row>
    <x:row r="215" ht="58" customHeight="1">
      <x:c r="A215" s="52" t="str">
        <x:v>CHEM054</x:v>
      </x:c>
      <x:c r="B215" s="52" t="str">
        <x:v>كيمياء</x:v>
      </x:c>
      <x:c r="C215" s="52" t="str">
        <x:v>العلوم الفيزيائية</x:v>
      </x:c>
      <x:c r="D215" s="52" t="str">
        <x:v>المادة وتفاعلاتها</x:v>
      </x:c>
      <x:c r="E215" s="52" t="str">
        <x:v>8-1-2-5-9</x:v>
      </x:c>
      <x:c r="F215" s="52" t="str">
        <x:v>استنتاج المتفاعل المحدد من بيانات بسيطة</x:v>
      </x:c>
      <x:c r="G215" s="52" t="str">
        <x:v>استدلال</x:v>
      </x:c>
      <x:c r="H215" s="52" t="str">
        <x:v>صعب</x:v>
      </x:c>
      <x:c r="I215" s="52" t="str">
        <x:v>اختيار من متعدد</x:v>
      </x:c>
      <x:c r="J215" s="51" t="str">
        <x:v>في تفاعل يحتاج جزيئين من H₂ لكل جزيء O₂، توفر 6 جزيئات H₂ وجزيئان O₂. أي مادة ستنفد أولًا؟</x:v>
      </x:c>
      <x:c r="K215" s="51" t="str">
        <x:v>O₂</x:v>
      </x:c>
      <x:c r="L215" s="51" t="str">
        <x:v>H₂</x:v>
      </x:c>
      <x:c r="M215" s="51" t="str">
        <x:v>كلاهما معًا</x:v>
      </x:c>
      <x:c r="N215" s="51" t="str">
        <x:v>لا يحدث تفاعل</x:v>
      </x:c>
      <x:c r="O215" s="51" t="str">
        <x:v>أ</x:v>
      </x:c>
      <x:c r="P215" s="51" t="str">
        <x:v>جزيئان O₂ يحتاجان 4 جزيئات H₂ فقط، لذا ينفد O₂ ويبقى H₂.</x:v>
      </x:c>
      <x:c r="Q215" s="52" t="str">
        <x:v>صورة</x:v>
      </x:c>
      <x:c r="R215" s="52" t="str">
        <x:v>تمثيل جسيمي لـ 6 جزيئات H₂ و2 جزيء O₂</x:v>
      </x:c>
      <x:c r="S215" s="52" t="str">
        <x:v>محاكي أصلي بعد مراجعة مصادر نافس المنشورة</x:v>
      </x:c>
      <x:c r="T215" s="52" t="str">
        <x:v>https://eservices.etec.gov.sa/ar/programs/nafs</x:v>
      </x:c>
      <x:c r="U215" s="52" t="str">
        <x:v>هيئة تقويم التعليم والتدريب – نمط التمثيلات الجسيمية والاستدلال</x:v>
      </x:c>
    </x:row>
    <x:row r="216" ht="58" customHeight="1">
      <x:c r="A216" s="52" t="str">
        <x:v>CHEM055</x:v>
      </x:c>
      <x:c r="B216" s="52" t="str">
        <x:v>كيمياء</x:v>
      </x:c>
      <x:c r="C216" s="52" t="str">
        <x:v>العلوم الفيزيائية</x:v>
      </x:c>
      <x:c r="D216" s="52" t="str">
        <x:v>المادة وتفاعلاتها</x:v>
      </x:c>
      <x:c r="E216" s="52" t="str">
        <x:v>8-1-2-5-9</x:v>
      </x:c>
      <x:c r="F216" s="52" t="str">
        <x:v>تحليل بيانات حفظ الكتلة</x:v>
      </x:c>
      <x:c r="G216" s="52" t="str">
        <x:v>استدلال</x:v>
      </x:c>
      <x:c r="H216" s="52" t="str">
        <x:v>متوسط</x:v>
      </x:c>
      <x:c r="I216" s="52" t="str">
        <x:v>اختيار من متعدد</x:v>
      </x:c>
      <x:c r="J216" s="51" t="str">
        <x:v>سُخنت مادة في وعاء مفتوح فانخفضت الكتلة المقاسة من 50 g إلى 43 g. ما التفسير الأكثر منطقية؟</x:v>
      </x:c>
      <x:c r="K216" s="51" t="str">
        <x:v>قد يكون غاز قد غادر النظام المفتوح</x:v>
      </x:c>
      <x:c r="L216" s="51" t="str">
        <x:v>قانون حفظ الكتلة غير صحيح</x:v>
      </x:c>
      <x:c r="M216" s="51" t="str">
        <x:v>اختفت 7 g من المادة دون سبب</x:v>
      </x:c>
      <x:c r="N216" s="51" t="str">
        <x:v>زادت الكتلة الفعلية</x:v>
      </x:c>
      <x:c r="O216" s="51" t="str">
        <x:v>أ</x:v>
      </x:c>
      <x:c r="P216" s="51" t="str">
        <x:v>في النظام المفتوح قد تغادر نواتج غازية، فتبدو الكتلة المقاسة أقل رغم حفظ الكتلة للنظام الكامل.</x:v>
      </x:c>
      <x:c r="Q216" s="52" t="str">
        <x:v>جدول</x:v>
      </x:c>
      <x:c r="R216" s="52" t="str">
        <x:v>جدول كتلة قبل وبعد التسخين مع توضيح أن الوعاء مفتوح</x:v>
      </x:c>
      <x:c r="S216" s="52" t="str">
        <x:v>محاكي أصلي بعد مراجعة مصادر نافس المنشورة</x:v>
      </x:c>
      <x:c r="T216" s="52" t="str">
        <x:v>https://eservices.etec.gov.sa/ar/programs/nafs</x:v>
      </x:c>
      <x:c r="U216" s="52" t="str">
        <x:v>ami.sa – مراجعة نمط المواقف التجريبية</x:v>
      </x:c>
    </x:row>
    <x:row r="217" ht="58" customHeight="1">
      <x:c r="A217" s="52" t="str">
        <x:v>CHEM056</x:v>
      </x:c>
      <x:c r="B217" s="52" t="str">
        <x:v>كيمياء</x:v>
      </x:c>
      <x:c r="C217" s="52" t="str">
        <x:v>العلوم الفيزيائية</x:v>
      </x:c>
      <x:c r="D217" s="52" t="str">
        <x:v>المادة وتفاعلاتها</x:v>
      </x:c>
      <x:c r="E217" s="52" t="str">
        <x:v>6-1-2-5-9</x:v>
      </x:c>
      <x:c r="F217" s="52" t="str">
        <x:v>تحليل تغير pH</x:v>
      </x:c>
      <x:c r="G217" s="52" t="str">
        <x:v>استدلال</x:v>
      </x:c>
      <x:c r="H217" s="52" t="str">
        <x:v>متوسط</x:v>
      </x:c>
      <x:c r="I217" s="52" t="str">
        <x:v>اختيار من متعدد</x:v>
      </x:c>
      <x:c r="J217" s="51" t="str">
        <x:v>انخفض pH محلول من 7 إلى 4 بعد إضافة مادة. ما التغير الذي حدث؟</x:v>
      </x:c>
      <x:c r="K217" s="51" t="str">
        <x:v>أصبح المحلول أكثر حمضية</x:v>
      </x:c>
      <x:c r="L217" s="51" t="str">
        <x:v>أصبح أكثر قاعدية</x:v>
      </x:c>
      <x:c r="M217" s="51" t="str">
        <x:v>بقي متعادلًا</x:v>
      </x:c>
      <x:c r="N217" s="51" t="str">
        <x:v>تحول إلى عنصر</x:v>
      </x:c>
      <x:c r="O217" s="51" t="str">
        <x:v>أ</x:v>
      </x:c>
      <x:c r="P217" s="51" t="str">
        <x:v>انخفاض pH تحت 7 يدل على زيادة الحموضة.</x:v>
      </x:c>
      <x:c r="Q217" s="52" t="str">
        <x:v>رسم بياني</x:v>
      </x:c>
      <x:c r="R217" s="52" t="str">
        <x:v>مقياس pH مع سهم من 7 إلى 4</x:v>
      </x:c>
      <x:c r="S217" s="52" t="str">
        <x:v>محاكي أصلي بعد مراجعة مصادر نافس المنشورة</x:v>
      </x:c>
      <x:c r="T217" s="52" t="str">
        <x:v>https://eservices.etec.gov.sa/ar/programs/nafs</x:v>
      </x:c>
      <x:c r="U217" s="52" t="str">
        <x:v>nafs.pro – مراجعة تغطية الأحماض والقواعد</x:v>
      </x:c>
    </x:row>
    <x:row r="218" ht="58" customHeight="1">
      <x:c r="A218" s="52" t="str">
        <x:v>CHEM057</x:v>
      </x:c>
      <x:c r="B218" s="52" t="str">
        <x:v>كيمياء</x:v>
      </x:c>
      <x:c r="C218" s="52" t="str">
        <x:v>العلوم الفيزيائية</x:v>
      </x:c>
      <x:c r="D218" s="52" t="str">
        <x:v>المادة وتفاعلاتها</x:v>
      </x:c>
      <x:c r="E218" s="52" t="str">
        <x:v>2-1-2-5-9</x:v>
      </x:c>
      <x:c r="F218" s="52" t="str">
        <x:v>اختيار تسلسل فصل مخلوط</x:v>
      </x:c>
      <x:c r="G218" s="52" t="str">
        <x:v>استدلال</x:v>
      </x:c>
      <x:c r="H218" s="52" t="str">
        <x:v>صعب</x:v>
      </x:c>
      <x:c r="I218" s="52" t="str">
        <x:v>اختيار من متعدد</x:v>
      </x:c>
      <x:c r="J218" s="51" t="str">
        <x:v>مخلوط يحتوي برادة حديد ورمل وملح مذاب في الماء. أي تسلسل يفصل مكوناته بصورة مناسبة؟</x:v>
      </x:c>
      <x:c r="K218" s="51" t="str">
        <x:v>مغناطيس ثم ترشيح الرمل ثم تبخير أو تقطير الماء</x:v>
      </x:c>
      <x:c r="L218" s="51" t="str">
        <x:v>تبخير فقط</x:v>
      </x:c>
      <x:c r="M218" s="51" t="str">
        <x:v>ترشيح فقط ثم مغناطيس بعد الذوبان</x:v>
      </x:c>
      <x:c r="N218" s="51" t="str">
        <x:v>مغناطيس فقط</x:v>
      </x:c>
      <x:c r="O218" s="51" t="str">
        <x:v>أ</x:v>
      </x:c>
      <x:c r="P218" s="51" t="str">
        <x:v>يُفصل الحديد بالمغناطيس، والرمل غير الذائب بالترشيح، ثم الملح عن الماء بالتبخير أو التقطير.</x:v>
      </x:c>
      <x:c r="Q218" s="52" t="str">
        <x:v>رسم</x:v>
      </x:c>
      <x:c r="R218" s="52" t="str">
        <x:v>مخطط خطوات فصل متسلسلة بثلاث محطات</x:v>
      </x:c>
      <x:c r="S218" s="52" t="str">
        <x:v>محاكي أصلي بعد مراجعة مصادر نافس المنشورة</x:v>
      </x:c>
      <x:c r="T218" s="52" t="str">
        <x:v>https://eservices.etec.gov.sa/ar/programs/nafs</x:v>
      </x:c>
      <x:c r="U218" s="52" t="str">
        <x:v>هيئة تقويم التعليم والتدريب – نمط حل المشكلات متعددة الخطوات</x:v>
      </x:c>
    </x:row>
    <x:row r="219" ht="58" customHeight="1">
      <x:c r="A219" s="52" t="str">
        <x:v>CHEM058</x:v>
      </x:c>
      <x:c r="B219" s="52" t="str">
        <x:v>كيمياء</x:v>
      </x:c>
      <x:c r="C219" s="52" t="str">
        <x:v>العلوم الفيزيائية</x:v>
      </x:c>
      <x:c r="D219" s="52" t="str">
        <x:v>المادة وتفاعلاتها</x:v>
      </x:c>
      <x:c r="E219" s="52" t="str">
        <x:v>3-1-2-5-9</x:v>
      </x:c>
      <x:c r="F219" s="52" t="str">
        <x:v>تحليل منحنى ذائبية</x:v>
      </x:c>
      <x:c r="G219" s="52" t="str">
        <x:v>استدلال</x:v>
      </x:c>
      <x:c r="H219" s="52" t="str">
        <x:v>صعب</x:v>
      </x:c>
      <x:c r="I219" s="52" t="str">
        <x:v>اختيار من متعدد</x:v>
      </x:c>
      <x:c r="J219" s="51" t="str">
        <x:v>عند 40°C تذوب 30 g من مادة في 100 g ماء، وعند 80°C تذوب 60 g. إذا كان محلول عند 80°C يحتوي 50 g مذابًا ثم برد إلى 40°C، فكم يتوقع أن يترسب؟</x:v>
      </x:c>
      <x:c r="K219" s="51" t="str">
        <x:v>20 g</x:v>
      </x:c>
      <x:c r="L219" s="51" t="str">
        <x:v>30 g</x:v>
      </x:c>
      <x:c r="M219" s="51" t="str">
        <x:v>50 g</x:v>
      </x:c>
      <x:c r="N219" s="51" t="str">
        <x:v>0 g</x:v>
      </x:c>
      <x:c r="O219" s="51" t="str">
        <x:v>أ</x:v>
      </x:c>
      <x:c r="P219" s="51" t="str">
        <x:v>عند 40°C يبقى 30 g مذابًا، لذلك يترسب 20 g من أصل 50 g.</x:v>
      </x:c>
      <x:c r="Q219" s="52" t="str">
        <x:v>رسم بياني</x:v>
      </x:c>
      <x:c r="R219" s="52" t="str">
        <x:v>منحنى ذائبية يمر بالنقطتين 40°C/30g و80°C/60g</x:v>
      </x:c>
      <x:c r="S219" s="52" t="str">
        <x:v>محاكي أصلي بعد مراجعة مصادر نافس المنشورة</x:v>
      </x:c>
      <x:c r="T219" s="52" t="str">
        <x:v>https://eservices.etec.gov.sa/ar/programs/nafs</x:v>
      </x:c>
      <x:c r="U219" s="52" t="str">
        <x:v>nafs.pro – مراجعة نمط الرسوم البيانية</x:v>
      </x:c>
    </x:row>
    <x:row r="220" ht="58" customHeight="1">
      <x:c r="A220" s="52" t="str">
        <x:v>CHEM059</x:v>
      </x:c>
      <x:c r="B220" s="52" t="str">
        <x:v>كيمياء</x:v>
      </x:c>
      <x:c r="C220" s="52" t="str">
        <x:v>العلوم الفيزيائية</x:v>
      </x:c>
      <x:c r="D220" s="52" t="str">
        <x:v>المادة وتفاعلاتها</x:v>
      </x:c>
      <x:c r="E220" s="52" t="str">
        <x:v>9-1-2-5-9</x:v>
      </x:c>
      <x:c r="F220" s="52" t="str">
        <x:v>تحليل تجربة سرعة التفاعل</x:v>
      </x:c>
      <x:c r="G220" s="52" t="str">
        <x:v>استدلال</x:v>
      </x:c>
      <x:c r="H220" s="52" t="str">
        <x:v>صعب</x:v>
      </x:c>
      <x:c r="I220" s="52" t="str">
        <x:v>اختيار من متعدد</x:v>
      </x:c>
      <x:c r="J220" s="51" t="str">
        <x:v>في أربع تجارب استُخدمت الكتلة نفسها من المادة. الأسرع كان عند حرارة أعلى ومسحوق أدق. أي استنتاج يدعمه ذلك؟</x:v>
      </x:c>
      <x:c r="K220" s="51" t="str">
        <x:v>زيادة الحرارة ومساحة السطح يمكن أن تزيد سرعة التفاعل</x:v>
      </x:c>
      <x:c r="L220" s="51" t="str">
        <x:v>الحرارة تقلل التصادمات</x:v>
      </x:c>
      <x:c r="M220" s="51" t="str">
        <x:v>مساحة السطح لا تؤثر</x:v>
      </x:c>
      <x:c r="N220" s="51" t="str">
        <x:v>كتلة المادة وحدها تحدد السرعة</x:v>
      </x:c>
      <x:c r="O220" s="51" t="str">
        <x:v>أ</x:v>
      </x:c>
      <x:c r="P220" s="51" t="str">
        <x:v>ارتفاع الحرارة وزيادة مساحة السطح يرفعان فرص التصادمات الفعالة.</x:v>
      </x:c>
      <x:c r="Q220" s="52" t="str">
        <x:v>جدول</x:v>
      </x:c>
      <x:c r="R220" s="52" t="str">
        <x:v>أربع تجارب تقارن درجة الحرارة وحجم الحبيبات وزمن التفاعل</x:v>
      </x:c>
      <x:c r="S220" s="52" t="str">
        <x:v>محاكي أصلي بعد مراجعة مصادر نافس المنشورة</x:v>
      </x:c>
      <x:c r="T220" s="52" t="str">
        <x:v>https://eservices.etec.gov.sa/ar/programs/nafs</x:v>
      </x:c>
      <x:c r="U220" s="52" t="str">
        <x:v>ami.sa – مراجعة نمط تحليل التجارب</x:v>
      </x:c>
    </x:row>
    <x:row r="221" ht="58" customHeight="1">
      <x:c r="A221" s="52" t="str">
        <x:v>CHEM060</x:v>
      </x:c>
      <x:c r="B221" s="52" t="str">
        <x:v>كيمياء</x:v>
      </x:c>
      <x:c r="C221" s="52" t="str">
        <x:v>العلوم الفيزيائية</x:v>
      </x:c>
      <x:c r="D221" s="52" t="str">
        <x:v>المادة وتفاعلاتها</x:v>
      </x:c>
      <x:c r="E221" s="52" t="str">
        <x:v>1-1-2-5-9</x:v>
      </x:c>
      <x:c r="F221" s="52" t="str">
        <x:v>استنتاج عمر نصف من رسم</x:v>
      </x:c>
      <x:c r="G221" s="52" t="str">
        <x:v>استدلال</x:v>
      </x:c>
      <x:c r="H221" s="52" t="str">
        <x:v>صعب</x:v>
      </x:c>
      <x:c r="I221" s="52" t="str">
        <x:v>اختيار من متعدد</x:v>
      </x:c>
      <x:c r="J221" s="51" t="str">
        <x:v>يوضح الرسم تناقص كمية نظير من 80 mg إلى 40 mg خلال 6 ساعات، ثم إلى 20 mg خلال 6 ساعات أخرى. ما عمر النصف؟</x:v>
      </x:c>
      <x:c r="K221" s="51" t="str">
        <x:v>3 ساعات</x:v>
      </x:c>
      <x:c r="L221" s="51" t="str">
        <x:v>6 ساعات</x:v>
      </x:c>
      <x:c r="M221" s="51" t="str">
        <x:v>12 ساعة</x:v>
      </x:c>
      <x:c r="N221" s="51" t="str">
        <x:v>20 ساعة</x:v>
      </x:c>
      <x:c r="O221" s="51" t="str">
        <x:v>ب</x:v>
      </x:c>
      <x:c r="P221" s="51" t="str">
        <x:v>تنخفض الكمية إلى النصف كل 6 ساعات.</x:v>
      </x:c>
      <x:c r="Q221" s="52" t="str">
        <x:v>رسم بياني</x:v>
      </x:c>
      <x:c r="R221" s="52" t="str">
        <x:v>منحنى تناقص: 80 عند 0h، 40 عند 6h، 20 عند 12h</x:v>
      </x:c>
      <x:c r="S221" s="52" t="str">
        <x:v>محاكي أصلي بعد مراجعة مصادر نافس المنشورة</x:v>
      </x:c>
      <x:c r="T221" s="52" t="str">
        <x:v>https://eservices.etec.gov.sa/ar/programs/nafs</x:v>
      </x:c>
      <x:c r="U221" s="52" t="str">
        <x:v>هيئة تقويم التعليم والتدريب – نمط تفسير الرسوم والبيانات</x:v>
      </x:c>
    </x:row>
    <x:row r="222" ht="58" customHeight="1">
      <x:c r="A222" s="53" t="str">
        <x:v>PHY051</x:v>
      </x:c>
      <x:c r="B222" s="53" t="str">
        <x:v>فيزياء</x:v>
      </x:c>
      <x:c r="C222" s="53" t="str">
        <x:v>العلوم الفيزيائية</x:v>
      </x:c>
      <x:c r="D222" s="53" t="str">
        <x:v>الحركة والقوى</x:v>
      </x:c>
      <x:c r="E222" s="53" t="str">
        <x:v>1-2-2-5-9</x:v>
      </x:c>
      <x:c r="F222" s="53" t="str">
        <x:v>تحليل منحنى مسافة-زمن</x:v>
      </x:c>
      <x:c r="G222" s="53" t="str">
        <x:v>استدلال</x:v>
      </x:c>
      <x:c r="H222" s="53" t="str">
        <x:v>متوسط</x:v>
      </x:c>
      <x:c r="I222" s="53" t="str">
        <x:v>اختيار من متعدد</x:v>
      </x:c>
      <x:c r="J222" s="51" t="str">
        <x:v>في منحنى المسافة-الزمن كان الخط أفقيًا بين الدقيقة 2 و4. ماذا يعني ذلك؟</x:v>
      </x:c>
      <x:c r="K222" s="51" t="str">
        <x:v>الجسم توقف خلال هذه الفترة</x:v>
      </x:c>
      <x:c r="L222" s="51" t="str">
        <x:v>الجسم تسارع</x:v>
      </x:c>
      <x:c r="M222" s="51" t="str">
        <x:v>الجسم عاد إلى نقطة البداية</x:v>
      </x:c>
      <x:c r="N222" s="51" t="str">
        <x:v>السرعة كانت أكبر ما يمكن</x:v>
      </x:c>
      <x:c r="O222" s="51" t="str">
        <x:v>أ</x:v>
      </x:c>
      <x:c r="P222" s="51" t="str">
        <x:v>ثبات المسافة مع مرور الزمن يعني عدم تغير الموقع.</x:v>
      </x:c>
      <x:c r="Q222" s="53" t="str">
        <x:v>رسم بياني</x:v>
      </x:c>
      <x:c r="R222" s="53" t="str">
        <x:v>منحنى مسافة-زمن يتضمن جزءًا أفقيًا بين 2 و4 دقائق</x:v>
      </x:c>
      <x:c r="S222" s="53" t="str">
        <x:v>محاكي أصلي بعد مراجعة مصادر نافس المنشورة</x:v>
      </x:c>
      <x:c r="T222" s="53" t="str">
        <x:v>https://eservices.etec.gov.sa/ar/programs/nafs</x:v>
      </x:c>
      <x:c r="U222" s="53" t="str">
        <x:v>nafs.pro – مراجعة نمط الرسوم الحركية</x:v>
      </x:c>
    </x:row>
    <x:row r="223" ht="58" customHeight="1">
      <x:c r="A223" s="53" t="str">
        <x:v>PHY052</x:v>
      </x:c>
      <x:c r="B223" s="53" t="str">
        <x:v>فيزياء</x:v>
      </x:c>
      <x:c r="C223" s="53" t="str">
        <x:v>العلوم الفيزيائية</x:v>
      </x:c>
      <x:c r="D223" s="53" t="str">
        <x:v>الحركة والقوى</x:v>
      </x:c>
      <x:c r="E223" s="53" t="str">
        <x:v>1-2-2-5-9</x:v>
      </x:c>
      <x:c r="F223" s="53" t="str">
        <x:v>استخراج السرعة من جدول</x:v>
      </x:c>
      <x:c r="G223" s="53" t="str">
        <x:v>تطبيق</x:v>
      </x:c>
      <x:c r="H223" s="53" t="str">
        <x:v>متوسط</x:v>
      </x:c>
      <x:c r="I223" s="53" t="str">
        <x:v>اختيار من متعدد</x:v>
      </x:c>
      <x:c r="J223" s="51" t="str">
        <x:v>تحرك جسم 0، 20، 40، 60 مترًا عند الأزمنة 0، 4، 8، 12 ثانية. ما سرعته المتوسطة؟</x:v>
      </x:c>
      <x:c r="K223" s="51" t="str">
        <x:v>2 m/s</x:v>
      </x:c>
      <x:c r="L223" s="51" t="str">
        <x:v>5 m/s</x:v>
      </x:c>
      <x:c r="M223" s="51" t="str">
        <x:v>10 m/s</x:v>
      </x:c>
      <x:c r="N223" s="51" t="str">
        <x:v>20 m/s</x:v>
      </x:c>
      <x:c r="O223" s="51" t="str">
        <x:v>ب</x:v>
      </x:c>
      <x:c r="P223" s="51" t="str">
        <x:v>السرعة = 60 ÷ 12 = 5 m/s.</x:v>
      </x:c>
      <x:c r="Q223" s="53" t="str">
        <x:v>جدول</x:v>
      </x:c>
      <x:c r="R223" s="53" t="str">
        <x:v>جدول زمن ومسافة بالقيم الواردة</x:v>
      </x:c>
      <x:c r="S223" s="53" t="str">
        <x:v>محاكي أصلي بعد مراجعة مصادر نافس المنشورة</x:v>
      </x:c>
      <x:c r="T223" s="53" t="str">
        <x:v>https://eservices.etec.gov.sa/ar/programs/nafs</x:v>
      </x:c>
      <x:c r="U223" s="53" t="str">
        <x:v>هيئة تقويم التعليم والتدريب – نمط القراءة من جدول</x:v>
      </x:c>
    </x:row>
    <x:row r="224" ht="58" customHeight="1">
      <x:c r="A224" s="53" t="str">
        <x:v>PHY053</x:v>
      </x:c>
      <x:c r="B224" s="53" t="str">
        <x:v>فيزياء</x:v>
      </x:c>
      <x:c r="C224" s="53" t="str">
        <x:v>العلوم الفيزيائية</x:v>
      </x:c>
      <x:c r="D224" s="53" t="str">
        <x:v>الحركة والقوى</x:v>
      </x:c>
      <x:c r="E224" s="53" t="str">
        <x:v>5-2-2-5-9</x:v>
      </x:c>
      <x:c r="F224" s="53" t="str">
        <x:v>تحليل القوة المحصلة</x:v>
      </x:c>
      <x:c r="G224" s="53" t="str">
        <x:v>استدلال</x:v>
      </x:c>
      <x:c r="H224" s="53" t="str">
        <x:v>متوسط</x:v>
      </x:c>
      <x:c r="I224" s="53" t="str">
        <x:v>اختيار من متعدد</x:v>
      </x:c>
      <x:c r="J224" s="51" t="str">
        <x:v>تؤثر قوتان 15 N يمينًا و9 N يسارًا في جسم. ما المحصلة؟</x:v>
      </x:c>
      <x:c r="K224" s="51" t="str">
        <x:v>6 N يمينًا</x:v>
      </x:c>
      <x:c r="L224" s="51" t="str">
        <x:v>6 N يسارًا</x:v>
      </x:c>
      <x:c r="M224" s="51" t="str">
        <x:v>24 N يمينًا</x:v>
      </x:c>
      <x:c r="N224" s="51" t="str">
        <x:v>0 N</x:v>
      </x:c>
      <x:c r="O224" s="51" t="str">
        <x:v>أ</x:v>
      </x:c>
      <x:c r="P224" s="51" t="str">
        <x:v>القوتان متعاكستان، فالمحصلة = 15 - 9 = 6 N نحو اليمين.</x:v>
      </x:c>
      <x:c r="Q224" s="53" t="str">
        <x:v>رسم</x:v>
      </x:c>
      <x:c r="R224" s="53" t="str">
        <x:v>جسم وسهم 15N يمينًا وسهم 9N يسارًا</x:v>
      </x:c>
      <x:c r="S224" s="53" t="str">
        <x:v>محاكي أصلي بعد مراجعة مصادر نافس المنشورة</x:v>
      </x:c>
      <x:c r="T224" s="53" t="str">
        <x:v>https://eservices.etec.gov.sa/ar/programs/nafs</x:v>
      </x:c>
      <x:c r="U224" s="53" t="str">
        <x:v>ami.sa – مراجعة نمط الأسئلة التطبيقية المباشرة</x:v>
      </x:c>
    </x:row>
    <x:row r="225" ht="58" customHeight="1">
      <x:c r="A225" s="53" t="str">
        <x:v>PHY054</x:v>
      </x:c>
      <x:c r="B225" s="53" t="str">
        <x:v>فيزياء</x:v>
      </x:c>
      <x:c r="C225" s="53" t="str">
        <x:v>العلوم الفيزيائية</x:v>
      </x:c>
      <x:c r="D225" s="53" t="str">
        <x:v>الحركة والقوى</x:v>
      </x:c>
      <x:c r="E225" s="53" t="str">
        <x:v>5-2-2-5-9</x:v>
      </x:c>
      <x:c r="F225" s="53" t="str">
        <x:v>تحليل بيانات قانون نيوتن الثاني</x:v>
      </x:c>
      <x:c r="G225" s="53" t="str">
        <x:v>استدلال</x:v>
      </x:c>
      <x:c r="H225" s="53" t="str">
        <x:v>صعب</x:v>
      </x:c>
      <x:c r="I225" s="53" t="str">
        <x:v>اختيار من متعدد</x:v>
      </x:c>
      <x:c r="J225" s="51" t="str">
        <x:v>يعرض جدول أربع عربات بقوى وكتل مختلفة. أي عربة لها أكبر تسارع؟</x:v>
      </x:c>
      <x:c r="K225" s="51" t="str">
        <x:v>عربة F=10N,m=5kg</x:v>
      </x:c>
      <x:c r="L225" s="51" t="str">
        <x:v>عربة F=12N,m=3kg</x:v>
      </x:c>
      <x:c r="M225" s="51" t="str">
        <x:v>عربة F=8N,m=4kg</x:v>
      </x:c>
      <x:c r="N225" s="51" t="str">
        <x:v>عربة F=6N,m=3kg</x:v>
      </x:c>
      <x:c r="O225" s="51" t="str">
        <x:v>ب</x:v>
      </x:c>
      <x:c r="P225" s="51" t="str">
        <x:v>التسارعات: 2،4،2،2 m/s²؛ لذا الثانية هي الأكبر.</x:v>
      </x:c>
      <x:c r="Q225" s="53" t="str">
        <x:v>جدول</x:v>
      </x:c>
      <x:c r="R225" s="53" t="str">
        <x:v>جدول أربع عربات بعمود للقوة وعمود للكتلة</x:v>
      </x:c>
      <x:c r="S225" s="53" t="str">
        <x:v>محاكي أصلي بعد مراجعة مصادر نافس المنشورة</x:v>
      </x:c>
      <x:c r="T225" s="53" t="str">
        <x:v>https://eservices.etec.gov.sa/ar/programs/nafs</x:v>
      </x:c>
      <x:c r="U225" s="53" t="str">
        <x:v>هيئة تقويم التعليم والتدريب – نمط المقارنة الكمية من جدول</x:v>
      </x:c>
    </x:row>
    <x:row r="226" ht="58" customHeight="1">
      <x:c r="A226" s="53" t="str">
        <x:v>PHY055</x:v>
      </x:c>
      <x:c r="B226" s="53" t="str">
        <x:v>فيزياء</x:v>
      </x:c>
      <x:c r="C226" s="53" t="str">
        <x:v>العلوم الفيزيائية</x:v>
      </x:c>
      <x:c r="D226" s="53" t="str">
        <x:v>الحركة والقوى</x:v>
      </x:c>
      <x:c r="E226" s="53" t="str">
        <x:v>2-2-2-5-9</x:v>
      </x:c>
      <x:c r="F226" s="53" t="str">
        <x:v>حفظ الزخم من بيانات تصادم</x:v>
      </x:c>
      <x:c r="G226" s="53" t="str">
        <x:v>استدلال</x:v>
      </x:c>
      <x:c r="H226" s="53" t="str">
        <x:v>صعب</x:v>
      </x:c>
      <x:c r="I226" s="53" t="str">
        <x:v>اختيار من متعدد</x:v>
      </x:c>
      <x:c r="J226" s="51" t="str">
        <x:v>كرة كتلتها 1 kg بسرعة 6 m/s اصطدمت بكرة ساكنة كتلتها 2 kg والتصقتا. ما سرعتهما المشتركة تقريبًا؟</x:v>
      </x:c>
      <x:c r="K226" s="51" t="str">
        <x:v>1 m/s</x:v>
      </x:c>
      <x:c r="L226" s="51" t="str">
        <x:v>2 m/s</x:v>
      </x:c>
      <x:c r="M226" s="51" t="str">
        <x:v>3 m/s</x:v>
      </x:c>
      <x:c r="N226" s="51" t="str">
        <x:v>6 m/s</x:v>
      </x:c>
      <x:c r="O226" s="51" t="str">
        <x:v>ب</x:v>
      </x:c>
      <x:c r="P226" s="51" t="str">
        <x:v>الزخم الابتدائي 6 kg·m/s، والكتلة الكلية 3 kg؛ السرعة = 2 m/s.</x:v>
      </x:c>
      <x:c r="Q226" s="53" t="str">
        <x:v>رسم</x:v>
      </x:c>
      <x:c r="R226" s="53" t="str">
        <x:v>كرتان قبل التصادم ثم جسم واحد بعد التصادم</x:v>
      </x:c>
      <x:c r="S226" s="53" t="str">
        <x:v>محاكي أصلي بعد مراجعة مصادر نافس المنشورة</x:v>
      </x:c>
      <x:c r="T226" s="53" t="str">
        <x:v>https://eservices.etec.gov.sa/ar/programs/nafs</x:v>
      </x:c>
      <x:c r="U226" s="53" t="str">
        <x:v>nafs.pro – مراجعة تغطية الزخم</x:v>
      </x:c>
    </x:row>
    <x:row r="227" ht="58" customHeight="1">
      <x:c r="A227" s="53" t="str">
        <x:v>PHY056</x:v>
      </x:c>
      <x:c r="B227" s="53" t="str">
        <x:v>فيزياء</x:v>
      </x:c>
      <x:c r="C227" s="53" t="str">
        <x:v>العلوم الفيزيائية</x:v>
      </x:c>
      <x:c r="D227" s="53" t="str">
        <x:v>الكهرومغناطيسية</x:v>
      </x:c>
      <x:c r="E227" s="53" t="str">
        <x:v>1-3-2-5-9</x:v>
      </x:c>
      <x:c r="F227" s="53" t="str">
        <x:v>تحليل علاقة V-I</x:v>
      </x:c>
      <x:c r="G227" s="53" t="str">
        <x:v>استدلال</x:v>
      </x:c>
      <x:c r="H227" s="53" t="str">
        <x:v>متوسط</x:v>
      </x:c>
      <x:c r="I227" s="53" t="str">
        <x:v>اختيار من متعدد</x:v>
      </x:c>
      <x:c r="J227" s="51" t="str">
        <x:v>يبين الرسم علاقة خطية بين فرق الجهد والتيار لمقاومة. إذا كان V=4V يعطي I=2A، فما المقاومة؟</x:v>
      </x:c>
      <x:c r="K227" s="51" t="str">
        <x:v>0.5 Ω</x:v>
      </x:c>
      <x:c r="L227" s="51" t="str">
        <x:v>2 Ω</x:v>
      </x:c>
      <x:c r="M227" s="51" t="str">
        <x:v>4 Ω</x:v>
      </x:c>
      <x:c r="N227" s="51" t="str">
        <x:v>8 Ω</x:v>
      </x:c>
      <x:c r="O227" s="51" t="str">
        <x:v>ب</x:v>
      </x:c>
      <x:c r="P227" s="51" t="str">
        <x:v>R=V/I=4/2=2 Ω.</x:v>
      </x:c>
      <x:c r="Q227" s="53" t="str">
        <x:v>رسم بياني</x:v>
      </x:c>
      <x:c r="R227" s="53" t="str">
        <x:v>رسم V مقابل I يمر بالنقطة (I=2A,V=4V)</x:v>
      </x:c>
      <x:c r="S227" s="53" t="str">
        <x:v>محاكي أصلي بعد مراجعة مصادر نافس المنشورة</x:v>
      </x:c>
      <x:c r="T227" s="53" t="str">
        <x:v>https://eservices.etec.gov.sa/ar/programs/nafs</x:v>
      </x:c>
      <x:c r="U227" s="53" t="str">
        <x:v>هيئة تقويم التعليم والتدريب – نمط تفسير الرسم</x:v>
      </x:c>
    </x:row>
    <x:row r="228" ht="58" customHeight="1">
      <x:c r="A228" s="53" t="str">
        <x:v>PHY057</x:v>
      </x:c>
      <x:c r="B228" s="53" t="str">
        <x:v>فيزياء</x:v>
      </x:c>
      <x:c r="C228" s="53" t="str">
        <x:v>العلوم الفيزيائية</x:v>
      </x:c>
      <x:c r="D228" s="53" t="str">
        <x:v>الكهرومغناطيسية</x:v>
      </x:c>
      <x:c r="E228" s="53" t="str">
        <x:v>2-3-2-5-9</x:v>
      </x:c>
      <x:c r="F228" s="53" t="str">
        <x:v>مقارنة التوالي والتوازي من رسم</x:v>
      </x:c>
      <x:c r="G228" s="53" t="str">
        <x:v>استدلال</x:v>
      </x:c>
      <x:c r="H228" s="53" t="str">
        <x:v>متوسط</x:v>
      </x:c>
      <x:c r="I228" s="53" t="str">
        <x:v>اختيار من متعدد</x:v>
      </x:c>
      <x:c r="J228" s="51" t="str">
        <x:v>يوضح شكل دائرتين؛ في الأولى للمصابيح مسار واحد، وفي الثانية أكثر من مسار. أيهما دائرة توازٍ؟</x:v>
      </x:c>
      <x:c r="K228" s="51" t="str">
        <x:v>الدائرة ذات أكثر من مسار</x:v>
      </x:c>
      <x:c r="L228" s="51" t="str">
        <x:v>الدائرة ذات المسار الواحد</x:v>
      </x:c>
      <x:c r="M228" s="51" t="str">
        <x:v>كلتاهما توالٍ</x:v>
      </x:c>
      <x:c r="N228" s="51" t="str">
        <x:v>لا يمكن التمييز</x:v>
      </x:c>
      <x:c r="O228" s="51" t="str">
        <x:v>أ</x:v>
      </x:c>
      <x:c r="P228" s="51" t="str">
        <x:v>وجود فروع متعددة للتيار يميز دائرة التوازي.</x:v>
      </x:c>
      <x:c r="Q228" s="53" t="str">
        <x:v>صورة</x:v>
      </x:c>
      <x:c r="R228" s="53" t="str">
        <x:v>رسم دائرتي توالٍ وتوازٍ جنبًا إلى جنب</x:v>
      </x:c>
      <x:c r="S228" s="53" t="str">
        <x:v>محاكي أصلي بعد مراجعة مصادر نافس المنشورة</x:v>
      </x:c>
      <x:c r="T228" s="53" t="str">
        <x:v>https://eservices.etec.gov.sa/ar/programs/nafs</x:v>
      </x:c>
      <x:c r="U228" s="53" t="str">
        <x:v>nafs.pro – مراجعة نمط الأسئلة البصرية</x:v>
      </x:c>
    </x:row>
    <x:row r="229" ht="58" customHeight="1">
      <x:c r="A229" s="53" t="str">
        <x:v>PHY058</x:v>
      </x:c>
      <x:c r="B229" s="53" t="str">
        <x:v>فيزياء</x:v>
      </x:c>
      <x:c r="C229" s="53" t="str">
        <x:v>العلوم الفيزيائية</x:v>
      </x:c>
      <x:c r="D229" s="53" t="str">
        <x:v>الكهرومغناطيسية</x:v>
      </x:c>
      <x:c r="E229" s="53" t="str">
        <x:v>4-3-2-5-9</x:v>
      </x:c>
      <x:c r="F229" s="53" t="str">
        <x:v>تحليل عوامل قوة المغناطيس الكهربائي</x:v>
      </x:c>
      <x:c r="G229" s="53" t="str">
        <x:v>استدلال</x:v>
      </x:c>
      <x:c r="H229" s="53" t="str">
        <x:v>صعب</x:v>
      </x:c>
      <x:c r="I229" s="53" t="str">
        <x:v>اختيار من متعدد</x:v>
      </x:c>
      <x:c r="J229" s="51" t="str">
        <x:v>أربع ملفات تختلف في عدد اللفات وشدة التيار. أيها يتوقع أن يكون مغناطيسه الكهربائي أقوى غالبًا؟</x:v>
      </x:c>
      <x:c r="K229" s="51" t="str">
        <x:v>لفّات أكثر وتيار أكبر</x:v>
      </x:c>
      <x:c r="L229" s="51" t="str">
        <x:v>لفّات أقل وتيار أقل</x:v>
      </x:c>
      <x:c r="M229" s="51" t="str">
        <x:v>دون تيار</x:v>
      </x:c>
      <x:c r="N229" s="51" t="str">
        <x:v>ملف مفتوح الدائرة</x:v>
      </x:c>
      <x:c r="O229" s="51" t="str">
        <x:v>أ</x:v>
      </x:c>
      <x:c r="P229" s="51" t="str">
        <x:v>زيادة عدد اللفات وشدة التيار يزيدان المجال المغناطيسي عادة.</x:v>
      </x:c>
      <x:c r="Q229" s="53" t="str">
        <x:v>جدول</x:v>
      </x:c>
      <x:c r="R229" s="53" t="str">
        <x:v>أربع حالات بعدد لفات وشدة تيار مختلفة</x:v>
      </x:c>
      <x:c r="S229" s="53" t="str">
        <x:v>محاكي أصلي بعد مراجعة مصادر نافس المنشورة</x:v>
      </x:c>
      <x:c r="T229" s="53" t="str">
        <x:v>https://eservices.etec.gov.sa/ar/programs/nafs</x:v>
      </x:c>
      <x:c r="U229" s="53" t="str">
        <x:v>ami.sa – مراجعة نمط المقارنة بين متغيرات</x:v>
      </x:c>
    </x:row>
    <x:row r="230" ht="58" customHeight="1">
      <x:c r="A230" s="53" t="str">
        <x:v>PHY059</x:v>
      </x:c>
      <x:c r="B230" s="53" t="str">
        <x:v>فيزياء</x:v>
      </x:c>
      <x:c r="C230" s="53" t="str">
        <x:v>العلوم الفيزيائية</x:v>
      </x:c>
      <x:c r="D230" s="53" t="str">
        <x:v>الموجات والاهتزازات</x:v>
      </x:c>
      <x:c r="E230" s="53" t="str">
        <x:v>1-5-2-5-9 / 2-5-2-5-9</x:v>
      </x:c>
      <x:c r="F230" s="53" t="str">
        <x:v>قراءة موجتين من رسم</x:v>
      </x:c>
      <x:c r="G230" s="53" t="str">
        <x:v>استدلال</x:v>
      </x:c>
      <x:c r="H230" s="53" t="str">
        <x:v>متوسط</x:v>
      </x:c>
      <x:c r="I230" s="53" t="str">
        <x:v>اختيار من متعدد</x:v>
      </x:c>
      <x:c r="J230" s="51" t="str">
        <x:v>في الشكل موجتان لهما الطول الموجي نفسه، وسعة الموجة أ ضعف سعة ب. أي عبارة أدق؟</x:v>
      </x:c>
      <x:c r="K230" s="51" t="str">
        <x:v>أ تحمل طاقة أكبر غالبًا</x:v>
      </x:c>
      <x:c r="L230" s="51" t="str">
        <x:v>أ ترددها أكبر بالضرورة</x:v>
      </x:c>
      <x:c r="M230" s="51" t="str">
        <x:v>ب أسرع في الوسط نفسه</x:v>
      </x:c>
      <x:c r="N230" s="51" t="str">
        <x:v>لهما شدتان متساويتان حتمًا</x:v>
      </x:c>
      <x:c r="O230" s="51" t="str">
        <x:v>أ</x:v>
      </x:c>
      <x:c r="P230" s="51" t="str">
        <x:v>زيادة السعة ترتبط بزيادة طاقة الموجة وشدتها.</x:v>
      </x:c>
      <x:c r="Q230" s="53" t="str">
        <x:v>رسم بياني</x:v>
      </x:c>
      <x:c r="R230" s="53" t="str">
        <x:v>موجتان بنفس الطول الموجي وسعتين مختلفتين</x:v>
      </x:c>
      <x:c r="S230" s="53" t="str">
        <x:v>محاكي أصلي بعد مراجعة مصادر نافس المنشورة</x:v>
      </x:c>
      <x:c r="T230" s="53" t="str">
        <x:v>https://eservices.etec.gov.sa/ar/programs/nafs</x:v>
      </x:c>
      <x:c r="U230" s="53" t="str">
        <x:v>هيئة تقويم التعليم والتدريب – نمط المقارنة من رسم</x:v>
      </x:c>
    </x:row>
    <x:row r="231" ht="58" customHeight="1">
      <x:c r="A231" s="53" t="str">
        <x:v>PHY060</x:v>
      </x:c>
      <x:c r="B231" s="53" t="str">
        <x:v>فيزياء</x:v>
      </x:c>
      <x:c r="C231" s="53" t="str">
        <x:v>العلوم الفيزيائية</x:v>
      </x:c>
      <x:c r="D231" s="53" t="str">
        <x:v>الموجات والاهتزازات</x:v>
      </x:c>
      <x:c r="E231" s="53" t="str">
        <x:v>1-5-2-5-9 / 2-5-2-5-9</x:v>
      </x:c>
      <x:c r="F231" s="53" t="str">
        <x:v>اختيار تطبيق للانعكاس</x:v>
      </x:c>
      <x:c r="G231" s="53" t="str">
        <x:v>تطبيق</x:v>
      </x:c>
      <x:c r="H231" s="53" t="str">
        <x:v>متوسط</x:v>
      </x:c>
      <x:c r="I231" s="53" t="str">
        <x:v>اختيار من متعدد</x:v>
      </x:c>
      <x:c r="J231" s="51" t="str">
        <x:v>أي تقنية تعتمد أساسًا على إرسال موجات واستقبال صداها لتحديد موقع جسم؟</x:v>
      </x:c>
      <x:c r="K231" s="51" t="str">
        <x:v>السونار</x:v>
      </x:c>
      <x:c r="L231" s="51" t="str">
        <x:v>البطارية</x:v>
      </x:c>
      <x:c r="M231" s="51" t="str">
        <x:v>المحرك الكهربائي</x:v>
      </x:c>
      <x:c r="N231" s="51" t="str">
        <x:v>المقاومة</x:v>
      </x:c>
      <x:c r="O231" s="51" t="str">
        <x:v>أ</x:v>
      </x:c>
      <x:c r="P231" s="51" t="str">
        <x:v>السونار يعتمد على انعكاس الموجات الصوتية وقياس زمن عودتها.</x:v>
      </x:c>
      <x:c r="Q231" s="53" t="str">
        <x:v>صورة</x:v>
      </x:c>
      <x:c r="R231" s="53" t="str">
        <x:v>قارب يرسل موجات نحو قاع البحر وتعود كصدى</x:v>
      </x:c>
      <x:c r="S231" s="53" t="str">
        <x:v>محاكي أصلي بعد مراجعة مصادر نافس المنشورة</x:v>
      </x:c>
      <x:c r="T231" s="53" t="str">
        <x:v>https://eservices.etec.gov.sa/ar/programs/nafs</x:v>
      </x:c>
      <x:c r="U231" s="53" t="str">
        <x:v>ami.sa – مراجعة نمط التطبيقات الحياتية</x:v>
      </x:c>
    </x:row>
    <x:row r="232" ht="58" customHeight="1">
      <x:c r="A232" s="54" t="str">
        <x:v>EARTH051</x:v>
      </x:c>
      <x:c r="B232" s="54" t="str">
        <x:v>علوم الأرض والفضاء</x:v>
      </x:c>
      <x:c r="C232" s="54" t="str">
        <x:v>علوم الأرض والفضاء</x:v>
      </x:c>
      <x:c r="D232" s="54" t="str">
        <x:v>النظام الأرضي</x:v>
      </x:c>
      <x:c r="E232" s="54" t="str">
        <x:v>7-2-3-5-9</x:v>
      </x:c>
      <x:c r="F232" s="54" t="str">
        <x:v>ربط حركة الصفائح بالنشاط الزلزالي</x:v>
      </x:c>
      <x:c r="G232" s="54" t="str">
        <x:v>استدلال</x:v>
      </x:c>
      <x:c r="H232" s="54" t="str">
        <x:v>متوسط</x:v>
      </x:c>
      <x:c r="I232" s="54" t="str">
        <x:v>اختيار من متعدد</x:v>
      </x:c>
      <x:c r="J232" s="51" t="str">
        <x:v>تتركز بؤر الزلازل في خريطة على امتداد حدود صفائح معروفة. أي استنتاج تدعمه البيانات؟</x:v>
      </x:c>
      <x:c r="K232" s="51" t="str">
        <x:v>حركة الصفائح ترتبط بحدوث كثير من الزلازل</x:v>
      </x:c>
      <x:c r="L232" s="51" t="str">
        <x:v>الزلازل موزعة عشوائيًا بالكامل</x:v>
      </x:c>
      <x:c r="M232" s="51" t="str">
        <x:v>المناخ هو السبب الرئيس للزلازل</x:v>
      </x:c>
      <x:c r="N232" s="51" t="str">
        <x:v>لا علاقة بين الموقع والصفائح</x:v>
      </x:c>
      <x:c r="O232" s="51" t="str">
        <x:v>أ</x:v>
      </x:c>
      <x:c r="P232" s="51" t="str">
        <x:v>توافق أحزمة الزلازل مع حدود الصفائح يدعم العلاقة بين الحركة التكتونية والنشاط الزلزالي.</x:v>
      </x:c>
      <x:c r="Q232" s="54" t="str">
        <x:v>خريطة</x:v>
      </x:c>
      <x:c r="R232" s="54" t="str">
        <x:v>خريطة مبسطة لحدود الصفائح ونقاط زلازل متجمعة على الحدود</x:v>
      </x:c>
      <x:c r="S232" s="54" t="str">
        <x:v>محاكي أصلي بعد مراجعة مصادر نافس المنشورة</x:v>
      </x:c>
      <x:c r="T232" s="54" t="str">
        <x:v>https://eservices.etec.gov.sa/ar/programs/nafs</x:v>
      </x:c>
      <x:c r="U232" s="54" t="str">
        <x:v>ami.sa/nafis_index.php – مراجعة مباشرة لنمط سؤال حركة الصفائح والزلازل</x:v>
      </x:c>
    </x:row>
    <x:row r="233" ht="58" customHeight="1">
      <x:c r="A233" s="54" t="str">
        <x:v>EARTH052</x:v>
      </x:c>
      <x:c r="B233" s="54" t="str">
        <x:v>علوم الأرض والفضاء</x:v>
      </x:c>
      <x:c r="C233" s="54" t="str">
        <x:v>علوم الأرض والفضاء</x:v>
      </x:c>
      <x:c r="D233" s="54" t="str">
        <x:v>النظام الأرضي</x:v>
      </x:c>
      <x:c r="E233" s="54" t="str">
        <x:v>6-2-3-5-9</x:v>
      </x:c>
      <x:c r="F233" s="54" t="str">
        <x:v>التمييز بين شدة الزلزال ومقداره</x:v>
      </x:c>
      <x:c r="G233" s="54" t="str">
        <x:v>استدلال</x:v>
      </x:c>
      <x:c r="H233" s="54" t="str">
        <x:v>متوسط</x:v>
      </x:c>
      <x:c r="I233" s="54" t="str">
        <x:v>اختيار من متعدد</x:v>
      </x:c>
      <x:c r="J233" s="51" t="str">
        <x:v>حدث زلزال واحد وشعرت به مدينتان؛ كانت الأضرار أكبر في مدينة مبانيها أضعف. أي مفهوم يصف اختلاف الأثر بين المدينتين؟</x:v>
      </x:c>
      <x:c r="K233" s="51" t="str">
        <x:v>شدة الزلزال في الموقع</x:v>
      </x:c>
      <x:c r="L233" s="51" t="str">
        <x:v>مقدار الزلزال نفسه تغيّر بين المدينتين</x:v>
      </x:c>
      <x:c r="M233" s="51" t="str">
        <x:v>عدد الصفائح</x:v>
      </x:c>
      <x:c r="N233" s="51" t="str">
        <x:v>عمر الصخور فقط</x:v>
      </x:c>
      <x:c r="O233" s="51" t="str">
        <x:v>أ</x:v>
      </x:c>
      <x:c r="P233" s="51" t="str">
        <x:v>الشدة تصف آثار الزلزال ودرجة الشعور به في موقع معين، وقد تختلف من مكان لآخر.</x:v>
      </x:c>
      <x:c r="Q233" s="54" t="str">
        <x:v>جدول</x:v>
      </x:c>
      <x:c r="R233" s="54" t="str">
        <x:v>مقارنة مدينتين في نوع المباني وحجم الأضرار</x:v>
      </x:c>
      <x:c r="S233" s="54" t="str">
        <x:v>محاكي أصلي بعد مراجعة مصادر نافس المنشورة</x:v>
      </x:c>
      <x:c r="T233" s="54" t="str">
        <x:v>https://eservices.etec.gov.sa/ar/programs/nafs</x:v>
      </x:c>
      <x:c r="U233" s="54" t="str">
        <x:v>ami.sa – مستلهم من سؤال منشور عن آثار هزة أرضية وشدة الزلزال</x:v>
      </x:c>
    </x:row>
    <x:row r="234" ht="58" customHeight="1">
      <x:c r="A234" s="54" t="str">
        <x:v>EARTH053</x:v>
      </x:c>
      <x:c r="B234" s="54" t="str">
        <x:v>علوم الأرض والفضاء</x:v>
      </x:c>
      <x:c r="C234" s="54" t="str">
        <x:v>علوم الأرض والفضاء</x:v>
      </x:c>
      <x:c r="D234" s="54" t="str">
        <x:v>الأرض والنشاط البشري</x:v>
      </x:c>
      <x:c r="E234" s="54" t="str">
        <x:v>1-3-3-5-9</x:v>
      </x:c>
      <x:c r="F234" s="54" t="str">
        <x:v>تحليل أثر معايير البناء</x:v>
      </x:c>
      <x:c r="G234" s="54" t="str">
        <x:v>استدلال</x:v>
      </x:c>
      <x:c r="H234" s="54" t="str">
        <x:v>صعب</x:v>
      </x:c>
      <x:c r="I234" s="54" t="str">
        <x:v>اختيار من متعدد</x:v>
      </x:c>
      <x:c r="J234" s="51" t="str">
        <x:v>أربع مدن تطبق معايير مقاومة الزلازل بنسب 35% و50% و75% و90%. إذا تعرضت لزلزال بالقوة نفسها، أيها يتوقع أن تكون أضرارها أقل غالبًا؟</x:v>
      </x:c>
      <x:c r="K234" s="51" t="str">
        <x:v>35%</x:v>
      </x:c>
      <x:c r="L234" s="51" t="str">
        <x:v>50%</x:v>
      </x:c>
      <x:c r="M234" s="51" t="str">
        <x:v>75%</x:v>
      </x:c>
      <x:c r="N234" s="51" t="str">
        <x:v>90%</x:v>
      </x:c>
      <x:c r="O234" s="51" t="str">
        <x:v>د</x:v>
      </x:c>
      <x:c r="P234" s="51" t="str">
        <x:v>ارتفاع تطبيق معايير البناء المقاومة للزلازل يقلل قابلية المنشآت للتضرر.</x:v>
      </x:c>
      <x:c r="Q234" s="54" t="str">
        <x:v>جدول</x:v>
      </x:c>
      <x:c r="R234" s="54" t="str">
        <x:v>جدول مدن بأربع نسب تطبيق لمعايير البناء</x:v>
      </x:c>
      <x:c r="S234" s="54" t="str">
        <x:v>محاكي أصلي بعد مراجعة مصادر نافس المنشورة</x:v>
      </x:c>
      <x:c r="T234" s="54" t="str">
        <x:v>https://eservices.etec.gov.sa/ar/programs/nafs</x:v>
      </x:c>
      <x:c r="U234" s="54" t="str">
        <x:v>هيئة تقويم التعليم والتدريب – مستلهم من المثال الرسمي المنشور لعلوم ثالث متوسط</x:v>
      </x:c>
    </x:row>
    <x:row r="235" ht="58" customHeight="1">
      <x:c r="A235" s="54" t="str">
        <x:v>EARTH054</x:v>
      </x:c>
      <x:c r="B235" s="54" t="str">
        <x:v>علوم الأرض والفضاء</x:v>
      </x:c>
      <x:c r="C235" s="54" t="str">
        <x:v>علوم الأرض والفضاء</x:v>
      </x:c>
      <x:c r="D235" s="54" t="str">
        <x:v>النظام الأرضي</x:v>
      </x:c>
      <x:c r="E235" s="54" t="str">
        <x:v>6-2-3-5-9</x:v>
      </x:c>
      <x:c r="F235" s="54" t="str">
        <x:v>تحليل زمن وصول P وS</x:v>
      </x:c>
      <x:c r="G235" s="54" t="str">
        <x:v>استدلال</x:v>
      </x:c>
      <x:c r="H235" s="54" t="str">
        <x:v>صعب</x:v>
      </x:c>
      <x:c r="I235" s="54" t="str">
        <x:v>اختيار من متعدد</x:v>
      </x:c>
      <x:c r="J235" s="51" t="str">
        <x:v>في محطة زلزالية وصلت P عند 10:00:00 وS عند 10:00:40. محطة أخرى كان الفرق 15 ثانية. أي محطة أقرب إلى المركز السطحي غالبًا؟</x:v>
      </x:c>
      <x:c r="K235" s="51" t="str">
        <x:v>المحطة ذات فرق 15 ثانية</x:v>
      </x:c>
      <x:c r="L235" s="51" t="str">
        <x:v>المحطة ذات فرق 40 ثانية</x:v>
      </x:c>
      <x:c r="M235" s="51" t="str">
        <x:v>متساويتان</x:v>
      </x:c>
      <x:c r="N235" s="51" t="str">
        <x:v>لا علاقة للفرق بالمسافة</x:v>
      </x:c>
      <x:c r="O235" s="51" t="str">
        <x:v>أ</x:v>
      </x:c>
      <x:c r="P235" s="51" t="str">
        <x:v>كلما قل فرق زمن وصول P وS كانت المحطة أقرب إلى مصدر الزلزال غالبًا.</x:v>
      </x:c>
      <x:c r="Q235" s="54" t="str">
        <x:v>جدول</x:v>
      </x:c>
      <x:c r="R235" s="54" t="str">
        <x:v>جدول محطتين وأزمنة وصول موجتي P وS</x:v>
      </x:c>
      <x:c r="S235" s="54" t="str">
        <x:v>محاكي أصلي بعد مراجعة مصادر نافس المنشورة</x:v>
      </x:c>
      <x:c r="T235" s="54" t="str">
        <x:v>https://eservices.etec.gov.sa/ar/programs/nafs</x:v>
      </x:c>
      <x:c r="U235" s="54" t="str">
        <x:v>nafs.pro – مراجعة تغطية الزلازل</x:v>
      </x:c>
    </x:row>
    <x:row r="236" ht="58" customHeight="1">
      <x:c r="A236" s="54" t="str">
        <x:v>EARTH055</x:v>
      </x:c>
      <x:c r="B236" s="54" t="str">
        <x:v>علوم الأرض والفضاء</x:v>
      </x:c>
      <x:c r="C236" s="54" t="str">
        <x:v>علوم الأرض والفضاء</x:v>
      </x:c>
      <x:c r="D236" s="54" t="str">
        <x:v>النظام الأرضي</x:v>
      </x:c>
      <x:c r="E236" s="54" t="str">
        <x:v>5-2-3-5-9</x:v>
      </x:c>
      <x:c r="F236" s="54" t="str">
        <x:v>تحليل دورة الصخور من مخطط</x:v>
      </x:c>
      <x:c r="G236" s="54" t="str">
        <x:v>استدلال</x:v>
      </x:c>
      <x:c r="H236" s="54" t="str">
        <x:v>متوسط</x:v>
      </x:c>
      <x:c r="I236" s="54" t="str">
        <x:v>اختيار من متعدد</x:v>
      </x:c>
      <x:c r="J236" s="51" t="str">
        <x:v>في مخطط دورة الصخور يشير سهم من الصخر المتحول إلى الصهارة. أي عملية يمثلها؟</x:v>
      </x:c>
      <x:c r="K236" s="51" t="str">
        <x:v>الانصهار</x:v>
      </x:c>
      <x:c r="L236" s="51" t="str">
        <x:v>التبريد</x:v>
      </x:c>
      <x:c r="M236" s="51" t="str">
        <x:v>الترسيب</x:v>
      </x:c>
      <x:c r="N236" s="51" t="str">
        <x:v>التجوية فقط</x:v>
      </x:c>
      <x:c r="O236" s="51" t="str">
        <x:v>أ</x:v>
      </x:c>
      <x:c r="P236" s="51" t="str">
        <x:v>تحول أي صخر إلى صهارة يتطلب الانصهار.</x:v>
      </x:c>
      <x:c r="Q236" s="54" t="str">
        <x:v>رسم</x:v>
      </x:c>
      <x:c r="R236" s="54" t="str">
        <x:v>مخطط دورة صخور بأسهم غير مسماة مع تمييز السهم المطلوب</x:v>
      </x:c>
      <x:c r="S236" s="54" t="str">
        <x:v>محاكي أصلي بعد مراجعة مصادر نافس المنشورة</x:v>
      </x:c>
      <x:c r="T236" s="54" t="str">
        <x:v>https://eservices.etec.gov.sa/ar/programs/nafs</x:v>
      </x:c>
      <x:c r="U236" s="54" t="str">
        <x:v>هيئة تقويم التعليم والتدريب – نمط المخططات</x:v>
      </x:c>
    </x:row>
    <x:row r="237" ht="58" customHeight="1">
      <x:c r="A237" s="54" t="str">
        <x:v>EARTH056</x:v>
      </x:c>
      <x:c r="B237" s="54" t="str">
        <x:v>علوم الأرض والفضاء</x:v>
      </x:c>
      <x:c r="C237" s="54" t="str">
        <x:v>علوم الأرض والفضاء</x:v>
      </x:c>
      <x:c r="D237" s="54" t="str">
        <x:v>النظام الأرضي</x:v>
      </x:c>
      <x:c r="E237" s="54" t="str">
        <x:v>4-2-3-5-9</x:v>
      </x:c>
      <x:c r="F237" s="54" t="str">
        <x:v>تحديد معدن من بيانات خصائص</x:v>
      </x:c>
      <x:c r="G237" s="54" t="str">
        <x:v>استدلال</x:v>
      </x:c>
      <x:c r="H237" s="54" t="str">
        <x:v>صعب</x:v>
      </x:c>
      <x:c r="I237" s="54" t="str">
        <x:v>اختيار من متعدد</x:v>
      </x:c>
      <x:c r="J237" s="51" t="str">
        <x:v>معدن قساوته 7 ومخدشه أبيض ولا ينفصم بوضوح. أي معلومة في الجدول هي الأكثر فائدة لتمييزه عن معدن قساوته 3؟</x:v>
      </x:c>
      <x:c r="K237" s="51" t="str">
        <x:v>القساوة</x:v>
      </x:c>
      <x:c r="L237" s="51" t="str">
        <x:v>اللون الخارجي وحده</x:v>
      </x:c>
      <x:c r="M237" s="51" t="str">
        <x:v>حجم العينة</x:v>
      </x:c>
      <x:c r="N237" s="51" t="str">
        <x:v>مكان العثور عليه فقط</x:v>
      </x:c>
      <x:c r="O237" s="51" t="str">
        <x:v>أ</x:v>
      </x:c>
      <x:c r="P237" s="51" t="str">
        <x:v>الفرق الكبير في القساوة خاصية تشخيصية مباشرة في هذه المقارنة.</x:v>
      </x:c>
      <x:c r="Q237" s="54" t="str">
        <x:v>جدول</x:v>
      </x:c>
      <x:c r="R237" s="54" t="str">
        <x:v>جدول معدنين في القساوة والمخدش والانفصام</x:v>
      </x:c>
      <x:c r="S237" s="54" t="str">
        <x:v>محاكي أصلي بعد مراجعة مصادر نافس المنشورة</x:v>
      </x:c>
      <x:c r="T237" s="54" t="str">
        <x:v>https://eservices.etec.gov.sa/ar/programs/nafs</x:v>
      </x:c>
      <x:c r="U237" s="54" t="str">
        <x:v>nafs.pro – مراجعة تغطية المعادن</x:v>
      </x:c>
    </x:row>
    <x:row r="238" ht="58" customHeight="1">
      <x:c r="A238" s="54" t="str">
        <x:v>EARTH057</x:v>
      </x:c>
      <x:c r="B238" s="54" t="str">
        <x:v>علوم الأرض والفضاء</x:v>
      </x:c>
      <x:c r="C238" s="54" t="str">
        <x:v>علوم الأرض والفضاء</x:v>
      </x:c>
      <x:c r="D238" s="54" t="str">
        <x:v>النظام الأرضي</x:v>
      </x:c>
      <x:c r="E238" s="54" t="str">
        <x:v>1-2-3-5-9</x:v>
      </x:c>
      <x:c r="F238" s="54" t="str">
        <x:v>قراءة خريطة طقس</x:v>
      </x:c>
      <x:c r="G238" s="54" t="str">
        <x:v>استدلال</x:v>
      </x:c>
      <x:c r="H238" s="54" t="str">
        <x:v>متوسط</x:v>
      </x:c>
      <x:c r="I238" s="54" t="str">
        <x:v>اختيار من متعدد</x:v>
      </x:c>
      <x:c r="J238" s="51" t="str">
        <x:v>تظهر خريطة الطقس منطقة ضغط مرتفع غرب مدينة ومنخفض شرقها. أي اتجاه عام لحركة الهواء يتوقع؟</x:v>
      </x:c>
      <x:c r="K238" s="51" t="str">
        <x:v>من المرتفع نحو المنخفض</x:v>
      </x:c>
      <x:c r="L238" s="51" t="str">
        <x:v>من المنخفض نحو المرتفع فقط</x:v>
      </x:c>
      <x:c r="M238" s="51" t="str">
        <x:v>لا يتحرك الهواء</x:v>
      </x:c>
      <x:c r="N238" s="51" t="str">
        <x:v>نحو مركز الأرض</x:v>
      </x:c>
      <x:c r="O238" s="51" t="str">
        <x:v>أ</x:v>
      </x:c>
      <x:c r="P238" s="51" t="str">
        <x:v>يتحرك الهواء عمومًا من الضغط الأعلى نحو الضغط الأدنى.</x:v>
      </x:c>
      <x:c r="Q238" s="54" t="str">
        <x:v>خريطة</x:v>
      </x:c>
      <x:c r="R238" s="54" t="str">
        <x:v>خريطة طقس مبسطة بعلامتي H وL وأسهم اختيارية</x:v>
      </x:c>
      <x:c r="S238" s="54" t="str">
        <x:v>محاكي أصلي بعد مراجعة مصادر نافس المنشورة</x:v>
      </x:c>
      <x:c r="T238" s="54" t="str">
        <x:v>https://eservices.etec.gov.sa/ar/programs/nafs</x:v>
      </x:c>
      <x:c r="U238" s="54" t="str">
        <x:v>ami.sa – مراجعة نمط القراءة من خرائط ومواقف</x:v>
      </x:c>
    </x:row>
    <x:row r="239" ht="58" customHeight="1">
      <x:c r="A239" s="54" t="str">
        <x:v>EARTH058</x:v>
      </x:c>
      <x:c r="B239" s="54" t="str">
        <x:v>علوم الأرض والفضاء</x:v>
      </x:c>
      <x:c r="C239" s="54" t="str">
        <x:v>علوم الأرض والفضاء</x:v>
      </x:c>
      <x:c r="D239" s="54" t="str">
        <x:v>النظام الأرضي</x:v>
      </x:c>
      <x:c r="E239" s="54" t="str">
        <x:v>3-2-3-5-9</x:v>
      </x:c>
      <x:c r="F239" s="54" t="str">
        <x:v>تحليل ميزانية ماء مبسطة</x:v>
      </x:c>
      <x:c r="G239" s="54" t="str">
        <x:v>استدلال</x:v>
      </x:c>
      <x:c r="H239" s="54" t="str">
        <x:v>صعب</x:v>
      </x:c>
      <x:c r="I239" s="54" t="str">
        <x:v>اختيار من متعدد</x:v>
      </x:c>
      <x:c r="J239" s="51" t="str">
        <x:v>سقط 100 mm مطر، تبخر 35 mm وجرف سطحيًا 25 mm. إذا أهملت الفواقد الأخرى، كم يمكن أن يتسرب إلى التربة؟</x:v>
      </x:c>
      <x:c r="K239" s="51" t="str">
        <x:v>40 mm</x:v>
      </x:c>
      <x:c r="L239" s="51" t="str">
        <x:v>60 mm</x:v>
      </x:c>
      <x:c r="M239" s="51" t="str">
        <x:v>75 mm</x:v>
      </x:c>
      <x:c r="N239" s="51" t="str">
        <x:v>160 mm</x:v>
      </x:c>
      <x:c r="O239" s="51" t="str">
        <x:v>أ</x:v>
      </x:c>
      <x:c r="P239" s="51" t="str">
        <x:v>التسرب = 100 - 35 - 25 = 40 mm.</x:v>
      </x:c>
      <x:c r="Q239" s="54" t="str">
        <x:v>جدول</x:v>
      </x:c>
      <x:c r="R239" s="54" t="str">
        <x:v>ميزانية ماء: مطر، تبخر، جريان سطحي، تسرب مجهول</x:v>
      </x:c>
      <x:c r="S239" s="54" t="str">
        <x:v>محاكي أصلي بعد مراجعة مصادر نافس المنشورة</x:v>
      </x:c>
      <x:c r="T239" s="54" t="str">
        <x:v>https://eservices.etec.gov.sa/ar/programs/nafs</x:v>
      </x:c>
      <x:c r="U239" s="54" t="str">
        <x:v>هيئة تقويم التعليم والتدريب – نمط الكميات والبيانات</x:v>
      </x:c>
    </x:row>
    <x:row r="240" ht="58" customHeight="1">
      <x:c r="A240" s="54" t="str">
        <x:v>EARTH059</x:v>
      </x:c>
      <x:c r="B240" s="54" t="str">
        <x:v>علوم الأرض والفضاء</x:v>
      </x:c>
      <x:c r="C240" s="54" t="str">
        <x:v>علوم الأرض والفضاء</x:v>
      </x:c>
      <x:c r="D240" s="54" t="str">
        <x:v>الأرض والنشاط البشري</x:v>
      </x:c>
      <x:c r="E240" s="54" t="str">
        <x:v>2-3-3-5-9</x:v>
      </x:c>
      <x:c r="F240" s="54" t="str">
        <x:v>مقارنة بدائل الطاقة</x:v>
      </x:c>
      <x:c r="G240" s="54" t="str">
        <x:v>استدلال</x:v>
      </x:c>
      <x:c r="H240" s="54" t="str">
        <x:v>متوسط</x:v>
      </x:c>
      <x:c r="I240" s="54" t="str">
        <x:v>اختيار من متعدد</x:v>
      </x:c>
      <x:c r="J240" s="51" t="str">
        <x:v>يعرض جدول ثلاثة مصادر طاقة من حيث التجدد والانبعاثات. أي خيار يدعم الاستدامة أكثر إذا كان متجددًا وانبعاثاته التشغيلية منخفضة؟</x:v>
      </x:c>
      <x:c r="K240" s="51" t="str">
        <x:v>المصدر المتجدد منخفض الانبعاثات</x:v>
      </x:c>
      <x:c r="L240" s="51" t="str">
        <x:v>المصدر غير المتجدد الأعلى انبعاثًا</x:v>
      </x:c>
      <x:c r="M240" s="51" t="str">
        <x:v>أي مصدر دون مقارنة</x:v>
      </x:c>
      <x:c r="N240" s="51" t="str">
        <x:v>المصدر الأسرع استهلاكًا</x:v>
      </x:c>
      <x:c r="O240" s="51" t="str">
        <x:v>أ</x:v>
      </x:c>
      <x:c r="P240" s="51" t="str">
        <x:v>الاستدامة ترتبط بتجدد المورد وتقليل الآثار البيئية عند المقارنة.</x:v>
      </x:c>
      <x:c r="Q240" s="54" t="str">
        <x:v>جدول</x:v>
      </x:c>
      <x:c r="R240" s="54" t="str">
        <x:v>ثلاثة مصادر طاقة مع عمودي التجدد والانبعاثات</x:v>
      </x:c>
      <x:c r="S240" s="54" t="str">
        <x:v>محاكي أصلي بعد مراجعة مصادر نافس المنشورة</x:v>
      </x:c>
      <x:c r="T240" s="54" t="str">
        <x:v>https://eservices.etec.gov.sa/ar/programs/nafs</x:v>
      </x:c>
      <x:c r="U240" s="54" t="str">
        <x:v>nafs.pro – مراجعة تغطية الموارد الطبيعية</x:v>
      </x:c>
    </x:row>
    <x:row r="241" ht="58" customHeight="1">
      <x:c r="A241" s="54" t="str">
        <x:v>EARTH060</x:v>
      </x:c>
      <x:c r="B241" s="54" t="str">
        <x:v>علوم الأرض والفضاء</x:v>
      </x:c>
      <x:c r="C241" s="54" t="str">
        <x:v>علوم الأرض والفضاء</x:v>
      </x:c>
      <x:c r="D241" s="54" t="str">
        <x:v>الكون والنظام الشمسي</x:v>
      </x:c>
      <x:c r="E241" s="54" t="str">
        <x:v>1-1-3-5-9</x:v>
      </x:c>
      <x:c r="F241" s="54" t="str">
        <x:v>الاستدلال من بيانات نجوم</x:v>
      </x:c>
      <x:c r="G241" s="54" t="str">
        <x:v>استدلال</x:v>
      </x:c>
      <x:c r="H241" s="54" t="str">
        <x:v>صعب</x:v>
      </x:c>
      <x:c r="I241" s="54" t="str">
        <x:v>اختيار من متعدد</x:v>
      </x:c>
      <x:c r="J241" s="51" t="str">
        <x:v>يعرض جدول نجومًا بألوان ودرجات حرارة سطحية. إذا كان الأزرق 20000 K والأبيض 9000 K والأحمر 3500 K، فما الاستنتاج؟</x:v>
      </x:c>
      <x:c r="K241" s="51" t="str">
        <x:v>اللون يرتبط بدرجة الحرارة السطحية</x:v>
      </x:c>
      <x:c r="L241" s="51" t="str">
        <x:v>الأحمر هو الأعلى حرارة</x:v>
      </x:c>
      <x:c r="M241" s="51" t="str">
        <x:v>جميع النجوم متساوية الحرارة</x:v>
      </x:c>
      <x:c r="N241" s="51" t="str">
        <x:v>اللون يحدد كتلة النجم وحدها</x:v>
      </x:c>
      <x:c r="O241" s="51" t="str">
        <x:v>أ</x:v>
      </x:c>
      <x:c r="P241" s="51" t="str">
        <x:v>توضح البيانات أن اختلاف اللون يرتبط باختلاف درجة الحرارة السطحية.</x:v>
      </x:c>
      <x:c r="Q241" s="54" t="str">
        <x:v>جدول</x:v>
      </x:c>
      <x:c r="R241" s="54" t="str">
        <x:v>جدول ثلاثة نجوم: اللون ودرجة الحرارة بالكلفن</x:v>
      </x:c>
      <x:c r="S241" s="54" t="str">
        <x:v>محاكي أصلي بعد مراجعة مصادر نافس المنشورة</x:v>
      </x:c>
      <x:c r="T241" s="54" t="str">
        <x:v>https://eservices.etec.gov.sa/ar/programs/nafs</x:v>
      </x:c>
      <x:c r="U241" s="54" t="str">
        <x:v>هيئة تقويم التعليم والتدريب – نمط الاستدلال من جدول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0" hidden="0" customWidth="1"/>
    <x:col min="4" max="4" width="18" hidden="0" customWidth="1"/>
    <x:col min="5" max="5" width="48" hidden="0" customWidth="1"/>
    <x:col min="6" max="6" width="12" hidden="0" customWidth="1"/>
  </x:cols>
  <x:sheetData>
    <x:row r="1">
      <x:c r="A1" s="6" t="str">
        <x:v>التخصص</x:v>
      </x:c>
      <x:c r="B1" s="6" t="str">
        <x:v>المجال الرسمي</x:v>
      </x:c>
      <x:c r="C1" s="6" t="str">
        <x:v>المجال الفرعي</x:v>
      </x:c>
      <x:c r="D1" s="6" t="str">
        <x:v>كود ناتج التعلم</x:v>
      </x:c>
      <x:c r="E1" s="6" t="str">
        <x:v>المؤشر المستهدف</x:v>
      </x:c>
      <x:c r="F1" s="6" t="str">
        <x:v>عدد الأسئلة</x:v>
      </x:c>
    </x:row>
    <x:row r="2">
      <x:c r="A2" s="14" t="str">
        <x:v>أحياء</x:v>
      </x:c>
      <x:c r="B2" s="14" t="str">
        <x:v>علوم الحياة</x:v>
      </x:c>
      <x:c r="C2" s="14" t="str">
        <x:v>أجهزة جسم الإنسان</x:v>
      </x:c>
      <x:c r="D2" s="14" t="str">
        <x:v>3-1-1-5-9</x:v>
      </x:c>
      <x:c r="E2" s="14" t="str">
        <x:v>التنبؤ بأثر خلل أحد الأجهزة</x:v>
      </x:c>
      <x:c r="F2" s="14" t="n">
        <x:v>1</x:v>
      </x:c>
    </x:row>
    <x:row r="3">
      <x:c r="A3" s="14" t="str">
        <x:v>أحياء</x:v>
      </x:c>
      <x:c r="B3" s="14" t="str">
        <x:v>علوم الحياة</x:v>
      </x:c>
      <x:c r="C3" s="14" t="str">
        <x:v>أجهزة جسم الإنسان</x:v>
      </x:c>
      <x:c r="D3" s="14" t="str">
        <x:v>3-1-1-5-9</x:v>
      </x:c>
      <x:c r="E3" s="14" t="str">
        <x:v>تكامل الأجهزة للمحافظة على الاتزان الداخلي</x:v>
      </x:c>
      <x:c r="F3" s="14" t="n">
        <x:v>1</x:v>
      </x:c>
    </x:row>
    <x:row r="4">
      <x:c r="A4" s="14" t="str">
        <x:v>أحياء</x:v>
      </x:c>
      <x:c r="B4" s="14" t="str">
        <x:v>علوم الحياة</x:v>
      </x:c>
      <x:c r="C4" s="14" t="str">
        <x:v>أجهزة جسم الإنسان</x:v>
      </x:c>
      <x:c r="D4" s="14" t="str">
        <x:v>3-1-1-5-9</x:v>
      </x:c>
      <x:c r="E4" s="14" t="str">
        <x:v>تكيف الأمعاء الدقيقة للامتصاص</x:v>
      </x:c>
      <x:c r="F4" s="14" t="n">
        <x:v>1</x:v>
      </x:c>
    </x:row>
    <x:row r="5">
      <x:c r="A5" s="14" t="str">
        <x:v>أحياء</x:v>
      </x:c>
      <x:c r="B5" s="14" t="str">
        <x:v>علوم الحياة</x:v>
      </x:c>
      <x:c r="C5" s="14" t="str">
        <x:v>أجهزة جسم الإنسان</x:v>
      </x:c>
      <x:c r="D5" s="14" t="str">
        <x:v>3-1-1-5-9</x:v>
      </x:c>
      <x:c r="E5" s="14" t="str">
        <x:v>تكيف الحويصلات الهوائية</x:v>
      </x:c>
      <x:c r="F5" s="14" t="n">
        <x:v>1</x:v>
      </x:c>
    </x:row>
    <x:row r="6">
      <x:c r="A6" s="14" t="str">
        <x:v>أحياء</x:v>
      </x:c>
      <x:c r="B6" s="14" t="str">
        <x:v>علوم الحياة</x:v>
      </x:c>
      <x:c r="C6" s="14" t="str">
        <x:v>أجهزة جسم الإنسان</x:v>
      </x:c>
      <x:c r="D6" s="14" t="str">
        <x:v>3-1-1-5-9</x:v>
      </x:c>
      <x:c r="E6" s="14" t="str">
        <x:v>تمييز وظيفة الأوعية الدموية</x:v>
      </x:c>
      <x:c r="F6" s="14" t="n">
        <x:v>1</x:v>
      </x:c>
    </x:row>
    <x:row r="7">
      <x:c r="A7" s="14" t="str">
        <x:v>أحياء</x:v>
      </x:c>
      <x:c r="B7" s="14" t="str">
        <x:v>علوم الحياة</x:v>
      </x:c>
      <x:c r="C7" s="14" t="str">
        <x:v>أجهزة جسم الإنسان</x:v>
      </x:c>
      <x:c r="D7" s="14" t="str">
        <x:v>3-1-1-5-9</x:v>
      </x:c>
      <x:c r="E7" s="14" t="str">
        <x:v>مسار الاستجابة الانعكاسية</x:v>
      </x:c>
      <x:c r="F7" s="14" t="n">
        <x:v>1</x:v>
      </x:c>
    </x:row>
    <x:row r="8">
      <x:c r="A8" s="14" t="str">
        <x:v>أحياء</x:v>
      </x:c>
      <x:c r="B8" s="14" t="str">
        <x:v>علوم الحياة</x:v>
      </x:c>
      <x:c r="C8" s="14" t="str">
        <x:v>الأنظمة البيئية وتفاعلاتها</x:v>
      </x:c>
      <x:c r="D8" s="14" t="str">
        <x:v>1-3-1-5-9</x:v>
      </x:c>
      <x:c r="E8" s="14" t="str">
        <x:v>أثر التكيف والتنوع الحيوي</x:v>
      </x:c>
      <x:c r="F8" s="14" t="n">
        <x:v>1</x:v>
      </x:c>
    </x:row>
    <x:row r="9">
      <x:c r="A9" s="14" t="str">
        <x:v>أحياء</x:v>
      </x:c>
      <x:c r="B9" s="14" t="str">
        <x:v>علوم الحياة</x:v>
      </x:c>
      <x:c r="C9" s="14" t="str">
        <x:v>الأنظمة البيئية وتفاعلاتها</x:v>
      </x:c>
      <x:c r="D9" s="14" t="str">
        <x:v>1-3-1-5-9</x:v>
      </x:c>
      <x:c r="E9" s="14" t="str">
        <x:v>التكيف السلوكي</x:v>
      </x:c>
      <x:c r="F9" s="14" t="n">
        <x:v>1</x:v>
      </x:c>
    </x:row>
    <x:row r="10">
      <x:c r="A10" s="14" t="str">
        <x:v>أحياء</x:v>
      </x:c>
      <x:c r="B10" s="14" t="str">
        <x:v>علوم الحياة</x:v>
      </x:c>
      <x:c r="C10" s="14" t="str">
        <x:v>الأنظمة البيئية وتفاعلاتها</x:v>
      </x:c>
      <x:c r="D10" s="14" t="str">
        <x:v>3-3-1-5-9</x:v>
      </x:c>
      <x:c r="E10" s="14" t="str">
        <x:v>انتقال الطاقة في السلاسل الغذائية</x:v>
      </x:c>
      <x:c r="F10" s="14" t="n">
        <x:v>1</x:v>
      </x:c>
    </x:row>
    <x:row r="11">
      <x:c r="A11" s="14" t="str">
        <x:v>أحياء</x:v>
      </x:c>
      <x:c r="B11" s="14" t="str">
        <x:v>علوم الحياة</x:v>
      </x:c>
      <x:c r="C11" s="14" t="str">
        <x:v>الأنظمة البيئية وتفاعلاتها</x:v>
      </x:c>
      <x:c r="D11" s="14" t="str">
        <x:v>3-3-1-5-9</x:v>
      </x:c>
      <x:c r="E11" s="14" t="str">
        <x:v>توقع أثر فقد مكوّن من الشبكة الغذائية</x:v>
      </x:c>
      <x:c r="F11" s="14" t="n">
        <x:v>1</x:v>
      </x:c>
    </x:row>
    <x:row r="12">
      <x:c r="A12" s="14" t="str">
        <x:v>أحياء</x:v>
      </x:c>
      <x:c r="B12" s="14" t="str">
        <x:v>علوم الحياة</x:v>
      </x:c>
      <x:c r="C12" s="14" t="str">
        <x:v>الأنظمة البيئية وتفاعلاتها</x:v>
      </x:c>
      <x:c r="D12" s="14" t="str">
        <x:v>3-3-1-5-9</x:v>
      </x:c>
      <x:c r="E12" s="14" t="str">
        <x:v>دور المحللات في دورة المواد</x:v>
      </x:c>
      <x:c r="F12" s="14" t="n">
        <x:v>1</x:v>
      </x:c>
    </x:row>
    <x:row r="13">
      <x:c r="A13" s="14" t="str">
        <x:v>أحياء</x:v>
      </x:c>
      <x:c r="B13" s="14" t="str">
        <x:v>علوم الحياة</x:v>
      </x:c>
      <x:c r="C13" s="14" t="str">
        <x:v>الأنظمة البيئية وتفاعلاتها</x:v>
      </x:c>
      <x:c r="D13" s="14" t="str">
        <x:v>3-3-1-5-9</x:v>
      </x:c>
      <x:c r="E13" s="14" t="str">
        <x:v>دورات المواد واستدامة النظام البيئي</x:v>
      </x:c>
      <x:c r="F13" s="14" t="n">
        <x:v>1</x:v>
      </x:c>
    </x:row>
    <x:row r="14">
      <x:c r="A14" s="14" t="str">
        <x:v>أحياء</x:v>
      </x:c>
      <x:c r="B14" s="14" t="str">
        <x:v>علوم الحياة</x:v>
      </x:c>
      <x:c r="C14" s="14" t="str">
        <x:v>الأنظمة البيئية وتفاعلاتها</x:v>
      </x:c>
      <x:c r="D14" s="14" t="str">
        <x:v>4-3-1-5-9</x:v>
      </x:c>
      <x:c r="E14" s="14" t="str">
        <x:v>تمييز التطفل</x:v>
      </x:c>
      <x:c r="F14" s="14" t="n">
        <x:v>1</x:v>
      </x:c>
    </x:row>
    <x:row r="15">
      <x:c r="A15" s="14" t="str">
        <x:v>أحياء</x:v>
      </x:c>
      <x:c r="B15" s="14" t="str">
        <x:v>علوم الحياة</x:v>
      </x:c>
      <x:c r="C15" s="14" t="str">
        <x:v>الأنظمة البيئية وتفاعلاتها</x:v>
      </x:c>
      <x:c r="D15" s="14" t="str">
        <x:v>4-3-1-5-9</x:v>
      </x:c>
      <x:c r="E15" s="14" t="str">
        <x:v>تمييز العلاقات التفاعلية</x:v>
      </x:c>
      <x:c r="F15" s="14" t="n">
        <x:v>1</x:v>
      </x:c>
    </x:row>
    <x:row r="16">
      <x:c r="A16" s="14" t="str">
        <x:v>أحياء</x:v>
      </x:c>
      <x:c r="B16" s="14" t="str">
        <x:v>علوم الحياة</x:v>
      </x:c>
      <x:c r="C16" s="14" t="str">
        <x:v>الأنظمة البيئية وتفاعلاتها</x:v>
      </x:c>
      <x:c r="D16" s="14" t="str">
        <x:v>5-3-1-5-9</x:v>
      </x:c>
      <x:c r="E16" s="14" t="str">
        <x:v>التعاقب البيئي</x:v>
      </x:c>
      <x:c r="F16" s="14" t="n">
        <x:v>1</x:v>
      </x:c>
    </x:row>
    <x:row r="17">
      <x:c r="A17" s="14" t="str">
        <x:v>أحياء</x:v>
      </x:c>
      <x:c r="B17" s="14" t="str">
        <x:v>علوم الحياة</x:v>
      </x:c>
      <x:c r="C17" s="14" t="str">
        <x:v>الأنظمة البيئية وتفاعلاتها</x:v>
      </x:c>
      <x:c r="D17" s="14" t="str">
        <x:v>5-3-1-5-9</x:v>
      </x:c>
      <x:c r="E17" s="14" t="str">
        <x:v>العوامل المحددة وحجم الجماعة</x:v>
      </x:c>
      <x:c r="F17" s="14" t="n">
        <x:v>1</x:v>
      </x:c>
    </x:row>
    <x:row r="18">
      <x:c r="A18" s="14" t="str">
        <x:v>أحياء</x:v>
      </x:c>
      <x:c r="B18" s="14" t="str">
        <x:v>علوم الحياة</x:v>
      </x:c>
      <x:c r="C18" s="14" t="str">
        <x:v>الأنظمة البيئية وتفاعلاتها</x:v>
      </x:c>
      <x:c r="D18" s="14" t="str">
        <x:v>5-3-1-5-9</x:v>
      </x:c>
      <x:c r="E18" s="14" t="str">
        <x:v>تحليل بيانات جماعة حيوية</x:v>
      </x:c>
      <x:c r="F18" s="14" t="n">
        <x:v>1</x:v>
      </x:c>
    </x:row>
    <x:row r="19">
      <x:c r="A19" s="14" t="str">
        <x:v>أحياء</x:v>
      </x:c>
      <x:c r="B19" s="14" t="str">
        <x:v>علوم الحياة</x:v>
      </x:c>
      <x:c r="C19" s="14" t="str">
        <x:v>الأنظمة البيئية وتفاعلاتها</x:v>
      </x:c>
      <x:c r="D19" s="14" t="str">
        <x:v>5-3-1-5-9</x:v>
      </x:c>
      <x:c r="E19" s="14" t="str">
        <x:v>تحليل عوامل اتزان النظام البيئي</x:v>
      </x:c>
      <x:c r="F19" s="14" t="n">
        <x:v>1</x:v>
      </x:c>
    </x:row>
    <x:row r="20">
      <x:c r="A20" s="14" t="str">
        <x:v>أحياء</x:v>
      </x:c>
      <x:c r="B20" s="14" t="str">
        <x:v>علوم الحياة</x:v>
      </x:c>
      <x:c r="C20" s="14" t="str">
        <x:v>الأنظمة البيئية وتفاعلاتها</x:v>
      </x:c>
      <x:c r="D20" s="14" t="str">
        <x:v>6-3-1-5-9</x:v>
      </x:c>
      <x:c r="E20" s="14" t="str">
        <x:v>الكتلة الحيوية والوقود الحيوي</x:v>
      </x:c>
      <x:c r="F20" s="14" t="n">
        <x:v>1</x:v>
      </x:c>
    </x:row>
    <x:row r="21">
      <x:c r="A21" s="14" t="str">
        <x:v>أحياء</x:v>
      </x:c>
      <x:c r="B21" s="14" t="str">
        <x:v>علوم الحياة</x:v>
      </x:c>
      <x:c r="C21" s="14" t="str">
        <x:v>التركيب والوظيفة في المخلوقات الحية</x:v>
      </x:c>
      <x:c r="D21" s="14" t="str">
        <x:v>1-1-1-5-9</x:v>
      </x:c>
      <x:c r="E21" s="14" t="str">
        <x:v>التخصص الخلوي في المخلوقات متعددة الخلايا</x:v>
      </x:c>
      <x:c r="F21" s="14" t="n">
        <x:v>1</x:v>
      </x:c>
    </x:row>
    <x:row r="22">
      <x:c r="A22" s="14" t="str">
        <x:v>أحياء</x:v>
      </x:c>
      <x:c r="B22" s="14" t="str">
        <x:v>علوم الحياة</x:v>
      </x:c>
      <x:c r="C22" s="14" t="str">
        <x:v>التركيب والوظيفة في المخلوقات الحية</x:v>
      </x:c>
      <x:c r="D22" s="14" t="str">
        <x:v>1-1-1-5-9</x:v>
      </x:c>
      <x:c r="E22" s="14" t="str">
        <x:v>المقارنة بين الخلية النباتية والحيوانية</x:v>
      </x:c>
      <x:c r="F22" s="14" t="n">
        <x:v>1</x:v>
      </x:c>
    </x:row>
    <x:row r="23">
      <x:c r="A23" s="14" t="str">
        <x:v>أحياء</x:v>
      </x:c>
      <x:c r="B23" s="14" t="str">
        <x:v>علوم الحياة</x:v>
      </x:c>
      <x:c r="C23" s="14" t="str">
        <x:v>التركيب والوظيفة في المخلوقات الحية</x:v>
      </x:c>
      <x:c r="D23" s="14" t="str">
        <x:v>1-1-1-5-9</x:v>
      </x:c>
      <x:c r="E23" s="14" t="str">
        <x:v>المقارنة بين وحيدة الخلية ومتعددة الخلايا</x:v>
      </x:c>
      <x:c r="F23" s="14" t="n">
        <x:v>1</x:v>
      </x:c>
    </x:row>
    <x:row r="24">
      <x:c r="A24" s="14" t="str">
        <x:v>أحياء</x:v>
      </x:c>
      <x:c r="B24" s="14" t="str">
        <x:v>علوم الحياة</x:v>
      </x:c>
      <x:c r="C24" s="14" t="str">
        <x:v>التركيب والوظيفة في المخلوقات الحية</x:v>
      </x:c>
      <x:c r="D24" s="14" t="str">
        <x:v>1-1-1-5-9</x:v>
      </x:c>
      <x:c r="E24" s="14" t="str">
        <x:v>تفسير الانتشار</x:v>
      </x:c>
      <x:c r="F24" s="14" t="n">
        <x:v>1</x:v>
      </x:c>
    </x:row>
    <x:row r="25">
      <x:c r="A25" s="14" t="str">
        <x:v>أحياء</x:v>
      </x:c>
      <x:c r="B25" s="14" t="str">
        <x:v>علوم الحياة</x:v>
      </x:c>
      <x:c r="C25" s="14" t="str">
        <x:v>التركيب والوظيفة في المخلوقات الحية</x:v>
      </x:c>
      <x:c r="D25" s="14" t="str">
        <x:v>1-1-1-5-9</x:v>
      </x:c>
      <x:c r="E25" s="14" t="str">
        <x:v>تفسير الخاصية الأسموزية</x:v>
      </x:c>
      <x:c r="F25" s="14" t="n">
        <x:v>1</x:v>
      </x:c>
    </x:row>
    <x:row r="26">
      <x:c r="A26" s="14" t="str">
        <x:v>أحياء</x:v>
      </x:c>
      <x:c r="B26" s="14" t="str">
        <x:v>علوم الحياة</x:v>
      </x:c>
      <x:c r="C26" s="14" t="str">
        <x:v>التركيب والوظيفة في المخلوقات الحية</x:v>
      </x:c>
      <x:c r="D26" s="14" t="str">
        <x:v>1-1-1-5-9</x:v>
      </x:c>
      <x:c r="E26" s="14" t="str">
        <x:v>دور المجاهر وأجهزة التكبير في دراسة الخلايا</x:v>
      </x:c>
      <x:c r="F26" s="14" t="n">
        <x:v>1</x:v>
      </x:c>
    </x:row>
    <x:row r="27">
      <x:c r="A27" s="14" t="str">
        <x:v>أحياء</x:v>
      </x:c>
      <x:c r="B27" s="14" t="str">
        <x:v>علوم الحياة</x:v>
      </x:c>
      <x:c r="C27" s="14" t="str">
        <x:v>التركيب والوظيفة في المخلوقات الحية</x:v>
      </x:c>
      <x:c r="D27" s="14" t="str">
        <x:v>1-1-1-5-9</x:v>
      </x:c>
      <x:c r="E27" s="14" t="str">
        <x:v>ربط البلاستيدات بالبناء الضوئي</x:v>
      </x:c>
      <x:c r="F27" s="14" t="n">
        <x:v>1</x:v>
      </x:c>
    </x:row>
    <x:row r="28">
      <x:c r="A28" s="14" t="str">
        <x:v>أحياء</x:v>
      </x:c>
      <x:c r="B28" s="14" t="str">
        <x:v>علوم الحياة</x:v>
      </x:c>
      <x:c r="C28" s="14" t="str">
        <x:v>التركيب والوظيفة في المخلوقات الحية</x:v>
      </x:c>
      <x:c r="D28" s="14" t="str">
        <x:v>1-1-1-5-9</x:v>
      </x:c>
      <x:c r="E28" s="14" t="str">
        <x:v>ربط تراكيب الخلية بوظائفها</x:v>
      </x:c>
      <x:c r="F28" s="14" t="n">
        <x:v>1</x:v>
      </x:c>
    </x:row>
    <x:row r="29">
      <x:c r="A29" s="14" t="str">
        <x:v>أحياء</x:v>
      </x:c>
      <x:c r="B29" s="14" t="str">
        <x:v>علوم الحياة</x:v>
      </x:c>
      <x:c r="C29" s="14" t="str">
        <x:v>التركيب والوظيفة في المخلوقات الحية</x:v>
      </x:c>
      <x:c r="D29" s="14" t="str">
        <x:v>1-1-1-5-9</x:v>
      </x:c>
      <x:c r="E29" s="14" t="str">
        <x:v>مستويات التنظيم</x:v>
      </x:c>
      <x:c r="F29" s="14" t="n">
        <x:v>1</x:v>
      </x:c>
    </x:row>
    <x:row r="30">
      <x:c r="A30" s="14" t="str">
        <x:v>أحياء</x:v>
      </x:c>
      <x:c r="B30" s="14" t="str">
        <x:v>علوم الحياة</x:v>
      </x:c>
      <x:c r="C30" s="14" t="str">
        <x:v>التركيب والوظيفة في المخلوقات الحية</x:v>
      </x:c>
      <x:c r="D30" s="14" t="str">
        <x:v>1-1-1-5-9</x:v>
      </x:c>
      <x:c r="E30" s="14" t="str">
        <x:v>وظيفة الغشاء البلازمي</x:v>
      </x:c>
      <x:c r="F30" s="14" t="n">
        <x:v>1</x:v>
      </x:c>
    </x:row>
    <x:row r="31">
      <x:c r="A31" s="14" t="str">
        <x:v>أحياء</x:v>
      </x:c>
      <x:c r="B31" s="14" t="str">
        <x:v>علوم الحياة</x:v>
      </x:c>
      <x:c r="C31" s="14" t="str">
        <x:v>الوراثة</x:v>
      </x:c>
      <x:c r="D31" s="14" t="str">
        <x:v>1-4-1-5-9</x:v>
      </x:c>
      <x:c r="E31" s="14" t="str">
        <x:v>التمييز بين الطراز الجيني والشكلي</x:v>
      </x:c>
      <x:c r="F31" s="14" t="n">
        <x:v>1</x:v>
      </x:c>
    </x:row>
    <x:row r="32">
      <x:c r="A32" s="14" t="str">
        <x:v>أحياء</x:v>
      </x:c>
      <x:c r="B32" s="14" t="str">
        <x:v>علوم الحياة</x:v>
      </x:c>
      <x:c r="C32" s="14" t="str">
        <x:v>الوراثة</x:v>
      </x:c>
      <x:c r="D32" s="14" t="str">
        <x:v>1-4-1-5-9</x:v>
      </x:c>
      <x:c r="E32" s="14" t="str">
        <x:v>تحليل نمط وراثي في مخطط أسرة</x:v>
      </x:c>
      <x:c r="F32" s="14" t="n">
        <x:v>1</x:v>
      </x:c>
    </x:row>
    <x:row r="33">
      <x:c r="A33" s="14" t="str">
        <x:v>أحياء</x:v>
      </x:c>
      <x:c r="B33" s="14" t="str">
        <x:v>علوم الحياة</x:v>
      </x:c>
      <x:c r="C33" s="14" t="str">
        <x:v>الوراثة</x:v>
      </x:c>
      <x:c r="D33" s="14" t="str">
        <x:v>1-4-1-5-9</x:v>
      </x:c>
      <x:c r="E33" s="14" t="str">
        <x:v>تطبيق قوانين مندل باستخدام مربع بانيت</x:v>
      </x:c>
      <x:c r="F33" s="14" t="n">
        <x:v>1</x:v>
      </x:c>
    </x:row>
    <x:row r="34">
      <x:c r="A34" s="14" t="str">
        <x:v>أحياء</x:v>
      </x:c>
      <x:c r="B34" s="14" t="str">
        <x:v>علوم الحياة</x:v>
      </x:c>
      <x:c r="C34" s="14" t="str">
        <x:v>الوراثة</x:v>
      </x:c>
      <x:c r="D34" s="14" t="str">
        <x:v>1-4-1-5-9</x:v>
      </x:c>
      <x:c r="E34" s="14" t="str">
        <x:v>تطبيق مربع بانيت</x:v>
      </x:c>
      <x:c r="F34" s="14" t="n">
        <x:v>1</x:v>
      </x:c>
    </x:row>
    <x:row r="35">
      <x:c r="A35" s="14" t="str">
        <x:v>أحياء</x:v>
      </x:c>
      <x:c r="B35" s="14" t="str">
        <x:v>علوم الحياة</x:v>
      </x:c>
      <x:c r="C35" s="14" t="str">
        <x:v>الوراثة</x:v>
      </x:c>
      <x:c r="D35" s="14" t="str">
        <x:v>1-4-1-5-9</x:v>
      </x:c>
      <x:c r="E35" s="14" t="str">
        <x:v>تفسير التباين الوراثي</x:v>
      </x:c>
      <x:c r="F35" s="14" t="n">
        <x:v>1</x:v>
      </x:c>
    </x:row>
    <x:row r="36">
      <x:c r="A36" s="14" t="str">
        <x:v>أحياء</x:v>
      </x:c>
      <x:c r="B36" s="14" t="str">
        <x:v>علوم الحياة</x:v>
      </x:c>
      <x:c r="C36" s="14" t="str">
        <x:v>الوراثة</x:v>
      </x:c>
      <x:c r="D36" s="14" t="str">
        <x:v>1-4-1-5-9</x:v>
      </x:c>
      <x:c r="E36" s="14" t="str">
        <x:v>تمييز متماثل الجينات وغير متماثلها</x:v>
      </x:c>
      <x:c r="F36" s="14" t="n">
        <x:v>1</x:v>
      </x:c>
    </x:row>
    <x:row r="37">
      <x:c r="A37" s="14" t="str">
        <x:v>أحياء</x:v>
      </x:c>
      <x:c r="B37" s="14" t="str">
        <x:v>علوم الحياة</x:v>
      </x:c>
      <x:c r="C37" s="14" t="str">
        <x:v>الوراثة</x:v>
      </x:c>
      <x:c r="D37" s="14" t="str">
        <x:v>2-4-1-5-9</x:v>
      </x:c>
      <x:c r="E37" s="14" t="str">
        <x:v>أثر الطفرات في البروتينات</x:v>
      </x:c>
      <x:c r="F37" s="14" t="n">
        <x:v>1</x:v>
      </x:c>
    </x:row>
    <x:row r="38">
      <x:c r="A38" s="14" t="str">
        <x:v>أحياء</x:v>
      </x:c>
      <x:c r="B38" s="14" t="str">
        <x:v>علوم الحياة</x:v>
      </x:c>
      <x:c r="C38" s="14" t="str">
        <x:v>الوراثة</x:v>
      </x:c>
      <x:c r="D38" s="14" t="str">
        <x:v>2-4-1-5-9</x:v>
      </x:c>
      <x:c r="E38" s="14" t="str">
        <x:v>التمييز بين الخلايا الثنائية والأحادية المجموعة الكروموسومية</x:v>
      </x:c>
      <x:c r="F38" s="14" t="n">
        <x:v>1</x:v>
      </x:c>
    </x:row>
    <x:row r="39">
      <x:c r="A39" s="14" t="str">
        <x:v>أحياء</x:v>
      </x:c>
      <x:c r="B39" s="14" t="str">
        <x:v>علوم الحياة</x:v>
      </x:c>
      <x:c r="C39" s="14" t="str">
        <x:v>الوراثة</x:v>
      </x:c>
      <x:c r="D39" s="14" t="str">
        <x:v>2-4-1-5-9</x:v>
      </x:c>
      <x:c r="E39" s="14" t="str">
        <x:v>العلاقة بين DNA والجينات والكروموسومات</x:v>
      </x:c>
      <x:c r="F39" s="14" t="n">
        <x:v>1</x:v>
      </x:c>
    </x:row>
    <x:row r="40">
      <x:c r="A40" s="14" t="str">
        <x:v>أحياء</x:v>
      </x:c>
      <x:c r="B40" s="14" t="str">
        <x:v>علوم الحياة</x:v>
      </x:c>
      <x:c r="C40" s="14" t="str">
        <x:v>الوراثة</x:v>
      </x:c>
      <x:c r="D40" s="14" t="str">
        <x:v>2-4-1-5-9</x:v>
      </x:c>
      <x:c r="E40" s="14" t="str">
        <x:v>المقارنة بين DNA وRNA</x:v>
      </x:c>
      <x:c r="F40" s="14" t="n">
        <x:v>1</x:v>
      </x:c>
    </x:row>
    <x:row r="41">
      <x:c r="A41" s="14" t="str">
        <x:v>أحياء</x:v>
      </x:c>
      <x:c r="B41" s="14" t="str">
        <x:v>علوم الحياة</x:v>
      </x:c>
      <x:c r="C41" s="14" t="str">
        <x:v>الوراثة</x:v>
      </x:c>
      <x:c r="D41" s="14" t="str">
        <x:v>2-4-1-5-9</x:v>
      </x:c>
      <x:c r="E41" s="14" t="str">
        <x:v>تمييز الكروموسومات الجنسية</x:v>
      </x:c>
      <x:c r="F41" s="14" t="n">
        <x:v>1</x:v>
      </x:c>
    </x:row>
    <x:row r="42">
      <x:c r="A42" s="14" t="str">
        <x:v>أحياء</x:v>
      </x:c>
      <x:c r="B42" s="14" t="str">
        <x:v>علوم الحياة</x:v>
      </x:c>
      <x:c r="C42" s="14" t="str">
        <x:v>الوراثة</x:v>
      </x:c>
      <x:c r="D42" s="14" t="str">
        <x:v>2-4-1-5-9</x:v>
      </x:c>
      <x:c r="E42" s="14" t="str">
        <x:v>دور RNA في تصنيع البروتين</x:v>
      </x:c>
      <x:c r="F42" s="14" t="n">
        <x:v>1</x:v>
      </x:c>
    </x:row>
    <x:row r="43">
      <x:c r="A43" s="14" t="str">
        <x:v>أحياء</x:v>
      </x:c>
      <x:c r="B43" s="14" t="str">
        <x:v>علوم الحياة</x:v>
      </x:c>
      <x:c r="C43" s="14" t="str">
        <x:v>تنظيم المخلوقات الحية وتنوعها</x:v>
      </x:c>
      <x:c r="D43" s="14" t="str">
        <x:v>1-2-1-5-9</x:v>
      </x:c>
      <x:c r="E43" s="14" t="str">
        <x:v>أهمية الاسم العلمي</x:v>
      </x:c>
      <x:c r="F43" s="14" t="n">
        <x:v>1</x:v>
      </x:c>
    </x:row>
    <x:row r="44">
      <x:c r="A44" s="14" t="str">
        <x:v>أحياء</x:v>
      </x:c>
      <x:c r="B44" s="14" t="str">
        <x:v>علوم الحياة</x:v>
      </x:c>
      <x:c r="C44" s="14" t="str">
        <x:v>تنظيم المخلوقات الحية وتنوعها</x:v>
      </x:c>
      <x:c r="D44" s="14" t="str">
        <x:v>1-2-1-5-9</x:v>
      </x:c>
      <x:c r="E44" s="14" t="str">
        <x:v>استخدام التصنيف الحديث</x:v>
      </x:c>
      <x:c r="F44" s="14" t="n">
        <x:v>1</x:v>
      </x:c>
    </x:row>
    <x:row r="45">
      <x:c r="A45" s="14" t="str">
        <x:v>أحياء</x:v>
      </x:c>
      <x:c r="B45" s="14" t="str">
        <x:v>علوم الحياة</x:v>
      </x:c>
      <x:c r="C45" s="14" t="str">
        <x:v>تنظيم المخلوقات الحية وتنوعها</x:v>
      </x:c>
      <x:c r="D45" s="14" t="str">
        <x:v>1-2-1-5-9</x:v>
      </x:c>
      <x:c r="E45" s="14" t="str">
        <x:v>استخدام مفتاح تصنيفي</x:v>
      </x:c>
      <x:c r="F45" s="14" t="n">
        <x:v>1</x:v>
      </x:c>
    </x:row>
    <x:row r="46">
      <x:c r="A46" s="14" t="str">
        <x:v>أحياء</x:v>
      </x:c>
      <x:c r="B46" s="14" t="str">
        <x:v>علوم الحياة</x:v>
      </x:c>
      <x:c r="C46" s="14" t="str">
        <x:v>دورة الخلية والانقسام</x:v>
      </x:c>
      <x:c r="D46" s="14" t="str">
        <x:v>2-1-1-5-9</x:v>
      </x:c>
      <x:c r="E46" s="14" t="str">
        <x:v>أحداث الطور البيني في دورة الخلية</x:v>
      </x:c>
      <x:c r="F46" s="14" t="n">
        <x:v>1</x:v>
      </x:c>
    </x:row>
    <x:row r="47">
      <x:c r="A47" s="14" t="str">
        <x:v>أحياء</x:v>
      </x:c>
      <x:c r="B47" s="14" t="str">
        <x:v>علوم الحياة</x:v>
      </x:c>
      <x:c r="C47" s="14" t="str">
        <x:v>دورة الخلية والانقسام</x:v>
      </x:c>
      <x:c r="D47" s="14" t="str">
        <x:v>2-1-1-5-9</x:v>
      </x:c>
      <x:c r="E47" s="14" t="str">
        <x:v>أهمية الانقسام المنصف في التنوع</x:v>
      </x:c>
      <x:c r="F47" s="14" t="n">
        <x:v>1</x:v>
      </x:c>
    </x:row>
    <x:row r="48">
      <x:c r="A48" s="14" t="str">
        <x:v>أحياء</x:v>
      </x:c>
      <x:c r="B48" s="14" t="str">
        <x:v>علوم الحياة</x:v>
      </x:c>
      <x:c r="C48" s="14" t="str">
        <x:v>دورة الخلية والانقسام</x:v>
      </x:c>
      <x:c r="D48" s="14" t="str">
        <x:v>2-1-1-5-9</x:v>
      </x:c>
      <x:c r="E48" s="14" t="str">
        <x:v>المقارنة بين المتساوي والمنصف</x:v>
      </x:c>
      <x:c r="F48" s="14" t="n">
        <x:v>1</x:v>
      </x:c>
    </x:row>
    <x:row r="49">
      <x:c r="A49" s="14" t="str">
        <x:v>أحياء</x:v>
      </x:c>
      <x:c r="B49" s="14" t="str">
        <x:v>علوم الحياة</x:v>
      </x:c>
      <x:c r="C49" s="14" t="str">
        <x:v>دورة الخلية والانقسام</x:v>
      </x:c>
      <x:c r="D49" s="14" t="str">
        <x:v>2-1-1-5-9</x:v>
      </x:c>
      <x:c r="E49" s="14" t="str">
        <x:v>حساب عدد الكروموسومات في الأمشاج</x:v>
      </x:c>
      <x:c r="F49" s="14" t="n">
        <x:v>1</x:v>
      </x:c>
    </x:row>
    <x:row r="50">
      <x:c r="A50" s="14" t="str">
        <x:v>أحياء</x:v>
      </x:c>
      <x:c r="B50" s="14" t="str">
        <x:v>علوم الحياة</x:v>
      </x:c>
      <x:c r="C50" s="14" t="str">
        <x:v>دورة الخلية والانقسام</x:v>
      </x:c>
      <x:c r="D50" s="14" t="str">
        <x:v>2-1-1-5-9</x:v>
      </x:c>
      <x:c r="E50" s="14" t="str">
        <x:v>دور الانقسام المتساوي في النمو والتعويض</x:v>
      </x:c>
      <x:c r="F50" s="14" t="n">
        <x:v>1</x:v>
      </x:c>
    </x:row>
    <x:row r="51">
      <x:c r="A51" s="14" t="str">
        <x:v>أحياء</x:v>
      </x:c>
      <x:c r="B51" s="14" t="str">
        <x:v>علوم الحياة</x:v>
      </x:c>
      <x:c r="C51" s="14" t="str">
        <x:v>دورة الخلية والانقسام</x:v>
      </x:c>
      <x:c r="D51" s="14" t="str">
        <x:v>2-1-1-5-9</x:v>
      </x:c>
      <x:c r="E51" s="14" t="str">
        <x:v>ناتج الانقسام المتساوي</x:v>
      </x:c>
      <x:c r="F51" s="14" t="n">
        <x:v>1</x:v>
      </x:c>
    </x:row>
    <x:row r="52">
      <x:c r="A52" s="14" t="str">
        <x:v>كيمياء</x:v>
      </x:c>
      <x:c r="B52" s="14" t="str">
        <x:v>العلوم الفيزيائية</x:v>
      </x:c>
      <x:c r="C52" s="14" t="str">
        <x:v>المادة وتفاعلاتها</x:v>
      </x:c>
      <x:c r="D52" s="14" t="str">
        <x:v>1-1-2-5-9</x:v>
      </x:c>
      <x:c r="E52" s="14" t="str">
        <x:v>أهمية العدد الذري</x:v>
      </x:c>
      <x:c r="F52" s="14" t="n">
        <x:v>1</x:v>
      </x:c>
    </x:row>
    <x:row r="53">
      <x:c r="A53" s="14" t="str">
        <x:v>كيمياء</x:v>
      </x:c>
      <x:c r="B53" s="14" t="str">
        <x:v>العلوم الفيزيائية</x:v>
      </x:c>
      <x:c r="C53" s="14" t="str">
        <x:v>المادة وتفاعلاتها</x:v>
      </x:c>
      <x:c r="D53" s="14" t="str">
        <x:v>1-1-2-5-9</x:v>
      </x:c>
      <x:c r="E53" s="14" t="str">
        <x:v>إلكترونات التكافؤ</x:v>
      </x:c>
      <x:c r="F53" s="14" t="n">
        <x:v>1</x:v>
      </x:c>
    </x:row>
    <x:row r="54">
      <x:c r="A54" s="14" t="str">
        <x:v>كيمياء</x:v>
      </x:c>
      <x:c r="B54" s="14" t="str">
        <x:v>العلوم الفيزيائية</x:v>
      </x:c>
      <x:c r="C54" s="14" t="str">
        <x:v>المادة وتفاعلاتها</x:v>
      </x:c>
      <x:c r="D54" s="14" t="str">
        <x:v>1-1-2-5-9</x:v>
      </x:c>
      <x:c r="E54" s="14" t="str">
        <x:v>استخدام النظائر المشعة</x:v>
      </x:c>
      <x:c r="F54" s="14" t="n">
        <x:v>1</x:v>
      </x:c>
    </x:row>
    <x:row r="55">
      <x:c r="A55" s="14" t="str">
        <x:v>كيمياء</x:v>
      </x:c>
      <x:c r="B55" s="14" t="str">
        <x:v>العلوم الفيزيائية</x:v>
      </x:c>
      <x:c r="C55" s="14" t="str">
        <x:v>المادة وتفاعلاتها</x:v>
      </x:c>
      <x:c r="D55" s="14" t="str">
        <x:v>1-1-2-5-9</x:v>
      </x:c>
      <x:c r="E55" s="14" t="str">
        <x:v>تركيب الذرة وحساب الجسيمات</x:v>
      </x:c>
      <x:c r="F55" s="14" t="n">
        <x:v>1</x:v>
      </x:c>
    </x:row>
    <x:row r="56">
      <x:c r="A56" s="14" t="str">
        <x:v>كيمياء</x:v>
      </x:c>
      <x:c r="B56" s="14" t="str">
        <x:v>العلوم الفيزيائية</x:v>
      </x:c>
      <x:c r="C56" s="14" t="str">
        <x:v>المادة وتفاعلاتها</x:v>
      </x:c>
      <x:c r="D56" s="14" t="str">
        <x:v>1-1-2-5-9</x:v>
      </x:c>
      <x:c r="E56" s="14" t="str">
        <x:v>تكوين الأيونات</x:v>
      </x:c>
      <x:c r="F56" s="14" t="n">
        <x:v>1</x:v>
      </x:c>
    </x:row>
    <x:row r="57">
      <x:c r="A57" s="14" t="str">
        <x:v>كيمياء</x:v>
      </x:c>
      <x:c r="B57" s="14" t="str">
        <x:v>العلوم الفيزيائية</x:v>
      </x:c>
      <x:c r="C57" s="14" t="str">
        <x:v>المادة وتفاعلاتها</x:v>
      </x:c>
      <x:c r="D57" s="14" t="str">
        <x:v>1-1-2-5-9</x:v>
      </x:c>
      <x:c r="E57" s="14" t="str">
        <x:v>تمييز النظائر</x:v>
      </x:c>
      <x:c r="F57" s="14" t="n">
        <x:v>2</x:v>
      </x:c>
    </x:row>
    <x:row r="58">
      <x:c r="A58" s="14" t="str">
        <x:v>كيمياء</x:v>
      </x:c>
      <x:c r="B58" s="14" t="str">
        <x:v>العلوم الفيزيائية</x:v>
      </x:c>
      <x:c r="C58" s="14" t="str">
        <x:v>المادة وتفاعلاتها</x:v>
      </x:c>
      <x:c r="D58" s="14" t="str">
        <x:v>1-1-2-5-9</x:v>
      </x:c>
      <x:c r="E58" s="14" t="str">
        <x:v>حساب الشحنة من البروتونات والإلكترونات</x:v>
      </x:c>
      <x:c r="F58" s="14" t="n">
        <x:v>1</x:v>
      </x:c>
    </x:row>
    <x:row r="59">
      <x:c r="A59" s="14" t="str">
        <x:v>كيمياء</x:v>
      </x:c>
      <x:c r="B59" s="14" t="str">
        <x:v>العلوم الفيزيائية</x:v>
      </x:c>
      <x:c r="C59" s="14" t="str">
        <x:v>المادة وتفاعلاتها</x:v>
      </x:c>
      <x:c r="D59" s="14" t="str">
        <x:v>1-1-2-5-9</x:v>
      </x:c>
      <x:c r="E59" s="14" t="str">
        <x:v>حساب العدد الكتلي</x:v>
      </x:c>
      <x:c r="F59" s="14" t="n">
        <x:v>1</x:v>
      </x:c>
    </x:row>
    <x:row r="60">
      <x:c r="A60" s="14" t="str">
        <x:v>كيمياء</x:v>
      </x:c>
      <x:c r="B60" s="14" t="str">
        <x:v>العلوم الفيزيائية</x:v>
      </x:c>
      <x:c r="C60" s="14" t="str">
        <x:v>المادة وتفاعلاتها</x:v>
      </x:c>
      <x:c r="D60" s="14" t="str">
        <x:v>1-1-2-5-9</x:v>
      </x:c>
      <x:c r="E60" s="14" t="str">
        <x:v>حساب عمر النصف</x:v>
      </x:c>
      <x:c r="F60" s="14" t="n">
        <x:v>2</x:v>
      </x:c>
    </x:row>
    <x:row r="61">
      <x:c r="A61" s="14" t="str">
        <x:v>كيمياء</x:v>
      </x:c>
      <x:c r="B61" s="14" t="str">
        <x:v>العلوم الفيزيائية</x:v>
      </x:c>
      <x:c r="C61" s="14" t="str">
        <x:v>المادة وتفاعلاتها</x:v>
      </x:c>
      <x:c r="D61" s="14" t="str">
        <x:v>1-1-2-5-9</x:v>
      </x:c>
      <x:c r="E61" s="14" t="str">
        <x:v>مفهوم عمر النصف</x:v>
      </x:c>
      <x:c r="F61" s="14" t="n">
        <x:v>1</x:v>
      </x:c>
    </x:row>
    <x:row r="62">
      <x:c r="A62" s="14" t="str">
        <x:v>كيمياء</x:v>
      </x:c>
      <x:c r="B62" s="14" t="str">
        <x:v>العلوم الفيزيائية</x:v>
      </x:c>
      <x:c r="C62" s="14" t="str">
        <x:v>المادة وتفاعلاتها</x:v>
      </x:c>
      <x:c r="D62" s="14" t="str">
        <x:v>2-1-2-5-9</x:v>
      </x:c>
      <x:c r="E62" s="14" t="str">
        <x:v>اختيار طريقة الفصل</x:v>
      </x:c>
      <x:c r="F62" s="14" t="n">
        <x:v>1</x:v>
      </x:c>
    </x:row>
    <x:row r="63">
      <x:c r="A63" s="14" t="str">
        <x:v>كيمياء</x:v>
      </x:c>
      <x:c r="B63" s="14" t="str">
        <x:v>العلوم الفيزيائية</x:v>
      </x:c>
      <x:c r="C63" s="14" t="str">
        <x:v>المادة وتفاعلاتها</x:v>
      </x:c>
      <x:c r="D63" s="14" t="str">
        <x:v>2-1-2-5-9</x:v>
      </x:c>
      <x:c r="E63" s="14" t="str">
        <x:v>اختيار طريقة فصل المخاليط</x:v>
      </x:c>
      <x:c r="F63" s="14" t="n">
        <x:v>1</x:v>
      </x:c>
    </x:row>
    <x:row r="64">
      <x:c r="A64" s="14" t="str">
        <x:v>كيمياء</x:v>
      </x:c>
      <x:c r="B64" s="14" t="str">
        <x:v>العلوم الفيزيائية</x:v>
      </x:c>
      <x:c r="C64" s="14" t="str">
        <x:v>المادة وتفاعلاتها</x:v>
      </x:c>
      <x:c r="D64" s="14" t="str">
        <x:v>2-1-2-5-9</x:v>
      </x:c>
      <x:c r="E64" s="14" t="str">
        <x:v>استخدام التقطير</x:v>
      </x:c>
      <x:c r="F64" s="14" t="n">
        <x:v>1</x:v>
      </x:c>
    </x:row>
    <x:row r="65">
      <x:c r="A65" s="14" t="str">
        <x:v>كيمياء</x:v>
      </x:c>
      <x:c r="B65" s="14" t="str">
        <x:v>العلوم الفيزيائية</x:v>
      </x:c>
      <x:c r="C65" s="14" t="str">
        <x:v>المادة وتفاعلاتها</x:v>
      </x:c>
      <x:c r="D65" s="14" t="str">
        <x:v>2-1-2-5-9</x:v>
      </x:c>
      <x:c r="E65" s="14" t="str">
        <x:v>تمييز المخاليط المتجانسة</x:v>
      </x:c>
      <x:c r="F65" s="14" t="n">
        <x:v>1</x:v>
      </x:c>
    </x:row>
    <x:row r="66">
      <x:c r="A66" s="14" t="str">
        <x:v>كيمياء</x:v>
      </x:c>
      <x:c r="B66" s="14" t="str">
        <x:v>العلوم الفيزيائية</x:v>
      </x:c>
      <x:c r="C66" s="14" t="str">
        <x:v>المادة وتفاعلاتها</x:v>
      </x:c>
      <x:c r="D66" s="14" t="str">
        <x:v>3-1-2-5-9</x:v>
      </x:c>
      <x:c r="E66" s="14" t="str">
        <x:v>استنتاج أثر درجة الحرارة في الذائبية</x:v>
      </x:c>
      <x:c r="F66" s="14" t="n">
        <x:v>1</x:v>
      </x:c>
    </x:row>
    <x:row r="67">
      <x:c r="A67" s="14" t="str">
        <x:v>كيمياء</x:v>
      </x:c>
      <x:c r="B67" s="14" t="str">
        <x:v>العلوم الفيزيائية</x:v>
      </x:c>
      <x:c r="C67" s="14" t="str">
        <x:v>المادة وتفاعلاتها</x:v>
      </x:c>
      <x:c r="D67" s="14" t="str">
        <x:v>3-1-2-5-9</x:v>
      </x:c>
      <x:c r="E67" s="14" t="str">
        <x:v>المحلول المشبع</x:v>
      </x:c>
      <x:c r="F67" s="14" t="n">
        <x:v>1</x:v>
      </x:c>
    </x:row>
    <x:row r="68">
      <x:c r="A68" s="14" t="str">
        <x:v>كيمياء</x:v>
      </x:c>
      <x:c r="B68" s="14" t="str">
        <x:v>العلوم الفيزيائية</x:v>
      </x:c>
      <x:c r="C68" s="14" t="str">
        <x:v>المادة وتفاعلاتها</x:v>
      </x:c>
      <x:c r="D68" s="14" t="str">
        <x:v>3-1-2-5-9</x:v>
      </x:c>
      <x:c r="E68" s="14" t="str">
        <x:v>قراءة منحنى الذائبية</x:v>
      </x:c>
      <x:c r="F68" s="14" t="n">
        <x:v>1</x:v>
      </x:c>
    </x:row>
    <x:row r="69">
      <x:c r="A69" s="14" t="str">
        <x:v>كيمياء</x:v>
      </x:c>
      <x:c r="B69" s="14" t="str">
        <x:v>العلوم الفيزيائية</x:v>
      </x:c>
      <x:c r="C69" s="14" t="str">
        <x:v>المادة وتفاعلاتها</x:v>
      </x:c>
      <x:c r="D69" s="14" t="str">
        <x:v>3-1-2-5-9</x:v>
      </x:c>
      <x:c r="E69" s="14" t="str">
        <x:v>مقارنة تركيز المحاليل</x:v>
      </x:c>
      <x:c r="F69" s="14" t="n">
        <x:v>1</x:v>
      </x:c>
    </x:row>
    <x:row r="70">
      <x:c r="A70" s="14" t="str">
        <x:v>كيمياء</x:v>
      </x:c>
      <x:c r="B70" s="14" t="str">
        <x:v>العلوم الفيزيائية</x:v>
      </x:c>
      <x:c r="C70" s="14" t="str">
        <x:v>المادة وتفاعلاتها</x:v>
      </x:c>
      <x:c r="D70" s="14" t="str">
        <x:v>5-1-2-5-9</x:v>
      </x:c>
      <x:c r="E70" s="14" t="str">
        <x:v>استقرار الغازات النبيلة</x:v>
      </x:c>
      <x:c r="F70" s="14" t="n">
        <x:v>1</x:v>
      </x:c>
    </x:row>
    <x:row r="71">
      <x:c r="A71" s="14" t="str">
        <x:v>كيمياء</x:v>
      </x:c>
      <x:c r="B71" s="14" t="str">
        <x:v>العلوم الفيزيائية</x:v>
      </x:c>
      <x:c r="C71" s="14" t="str">
        <x:v>المادة وتفاعلاتها</x:v>
      </x:c>
      <x:c r="D71" s="14" t="str">
        <x:v>5-1-2-5-9</x:v>
      </x:c>
      <x:c r="E71" s="14" t="str">
        <x:v>استنتاج خواص العناصر من موقعها في الجدول الدوري</x:v>
      </x:c>
      <x:c r="F71" s="14" t="n">
        <x:v>1</x:v>
      </x:c>
    </x:row>
    <x:row r="72">
      <x:c r="A72" s="14" t="str">
        <x:v>كيمياء</x:v>
      </x:c>
      <x:c r="B72" s="14" t="str">
        <x:v>العلوم الفيزيائية</x:v>
      </x:c>
      <x:c r="C72" s="14" t="str">
        <x:v>المادة وتفاعلاتها</x:v>
      </x:c>
      <x:c r="D72" s="14" t="str">
        <x:v>5-1-2-5-9</x:v>
      </x:c>
      <x:c r="E72" s="14" t="str">
        <x:v>العلاقة بين الدورة ومستويات الطاقة</x:v>
      </x:c>
      <x:c r="F72" s="14" t="n">
        <x:v>1</x:v>
      </x:c>
    </x:row>
    <x:row r="73">
      <x:c r="A73" s="14" t="str">
        <x:v>كيمياء</x:v>
      </x:c>
      <x:c r="B73" s="14" t="str">
        <x:v>العلوم الفيزيائية</x:v>
      </x:c>
      <x:c r="C73" s="14" t="str">
        <x:v>المادة وتفاعلاتها</x:v>
      </x:c>
      <x:c r="D73" s="14" t="str">
        <x:v>5-1-2-5-9</x:v>
      </x:c>
      <x:c r="E73" s="14" t="str">
        <x:v>خواص عناصر المجموعة الواحدة</x:v>
      </x:c>
      <x:c r="F73" s="14" t="n">
        <x:v>1</x:v>
      </x:c>
    </x:row>
    <x:row r="74">
      <x:c r="A74" s="14" t="str">
        <x:v>كيمياء</x:v>
      </x:c>
      <x:c r="B74" s="14" t="str">
        <x:v>العلوم الفيزيائية</x:v>
      </x:c>
      <x:c r="C74" s="14" t="str">
        <x:v>المادة وتفاعلاتها</x:v>
      </x:c>
      <x:c r="D74" s="14" t="str">
        <x:v>5-1-2-5-9</x:v>
      </x:c>
      <x:c r="E74" s="14" t="str">
        <x:v>مقارنة خصائص الفلزات واللافلزات</x:v>
      </x:c>
      <x:c r="F74" s="14" t="n">
        <x:v>1</x:v>
      </x:c>
    </x:row>
    <x:row r="75">
      <x:c r="A75" s="14" t="str">
        <x:v>كيمياء</x:v>
      </x:c>
      <x:c r="B75" s="14" t="str">
        <x:v>العلوم الفيزيائية</x:v>
      </x:c>
      <x:c r="C75" s="14" t="str">
        <x:v>المادة وتفاعلاتها</x:v>
      </x:c>
      <x:c r="D75" s="14" t="str">
        <x:v>5-1-2-5-9</x:v>
      </x:c>
      <x:c r="E75" s="14" t="str">
        <x:v>مقارنة نشاط الفلزات القلوية</x:v>
      </x:c>
      <x:c r="F75" s="14" t="n">
        <x:v>1</x:v>
      </x:c>
    </x:row>
    <x:row r="76">
      <x:c r="A76" s="14" t="str">
        <x:v>كيمياء</x:v>
      </x:c>
      <x:c r="B76" s="14" t="str">
        <x:v>العلوم الفيزيائية</x:v>
      </x:c>
      <x:c r="C76" s="14" t="str">
        <x:v>المادة وتفاعلاتها</x:v>
      </x:c>
      <x:c r="D76" s="14" t="str">
        <x:v>6-1-2-5-9</x:v>
      </x:c>
      <x:c r="E76" s="14" t="str">
        <x:v>استخدام الرقم الهيدروجيني في المقارنة بين الأحماض والقواعد</x:v>
      </x:c>
      <x:c r="F76" s="14" t="n">
        <x:v>1</x:v>
      </x:c>
    </x:row>
    <x:row r="77">
      <x:c r="A77" s="14" t="str">
        <x:v>كيمياء</x:v>
      </x:c>
      <x:c r="B77" s="14" t="str">
        <x:v>العلوم الفيزيائية</x:v>
      </x:c>
      <x:c r="C77" s="14" t="str">
        <x:v>المادة وتفاعلاتها</x:v>
      </x:c>
      <x:c r="D77" s="14" t="str">
        <x:v>6-1-2-5-9</x:v>
      </x:c>
      <x:c r="E77" s="14" t="str">
        <x:v>استخدام المؤشرات</x:v>
      </x:c>
      <x:c r="F77" s="14" t="n">
        <x:v>1</x:v>
      </x:c>
    </x:row>
    <x:row r="78">
      <x:c r="A78" s="14" t="str">
        <x:v>كيمياء</x:v>
      </x:c>
      <x:c r="B78" s="14" t="str">
        <x:v>العلوم الفيزيائية</x:v>
      </x:c>
      <x:c r="C78" s="14" t="str">
        <x:v>المادة وتفاعلاتها</x:v>
      </x:c>
      <x:c r="D78" s="14" t="str">
        <x:v>6-1-2-5-9</x:v>
      </x:c>
      <x:c r="E78" s="14" t="str">
        <x:v>تحديد الحمض والقاعدة من pH</x:v>
      </x:c>
      <x:c r="F78" s="14" t="n">
        <x:v>1</x:v>
      </x:c>
    </x:row>
    <x:row r="79">
      <x:c r="A79" s="14" t="str">
        <x:v>كيمياء</x:v>
      </x:c>
      <x:c r="B79" s="14" t="str">
        <x:v>العلوم الفيزيائية</x:v>
      </x:c>
      <x:c r="C79" s="14" t="str">
        <x:v>المادة وتفاعلاتها</x:v>
      </x:c>
      <x:c r="D79" s="14" t="str">
        <x:v>6-1-2-5-9</x:v>
      </x:c>
      <x:c r="E79" s="14" t="str">
        <x:v>مفهوم التعادل</x:v>
      </x:c>
      <x:c r="F79" s="14" t="n">
        <x:v>1</x:v>
      </x:c>
    </x:row>
    <x:row r="80">
      <x:c r="A80" s="14" t="str">
        <x:v>كيمياء</x:v>
      </x:c>
      <x:c r="B80" s="14" t="str">
        <x:v>العلوم الفيزيائية</x:v>
      </x:c>
      <x:c r="C80" s="14" t="str">
        <x:v>المادة وتفاعلاتها</x:v>
      </x:c>
      <x:c r="D80" s="14" t="str">
        <x:v>6-1-2-5-9</x:v>
      </x:c>
      <x:c r="E80" s="14" t="str">
        <x:v>مقارنة قوة الحموضة من pH</x:v>
      </x:c>
      <x:c r="F80" s="14" t="n">
        <x:v>1</x:v>
      </x:c>
    </x:row>
    <x:row r="81">
      <x:c r="A81" s="14" t="str">
        <x:v>كيمياء</x:v>
      </x:c>
      <x:c r="B81" s="14" t="str">
        <x:v>العلوم الفيزيائية</x:v>
      </x:c>
      <x:c r="C81" s="14" t="str">
        <x:v>المادة وتفاعلاتها</x:v>
      </x:c>
      <x:c r="D81" s="14" t="str">
        <x:v>7-1-2-5-9</x:v>
      </x:c>
      <x:c r="E81" s="14" t="str">
        <x:v>الإلكترونات المشتركة في الروابط</x:v>
      </x:c>
      <x:c r="F81" s="14" t="n">
        <x:v>1</x:v>
      </x:c>
    </x:row>
    <x:row r="82">
      <x:c r="A82" s="14" t="str">
        <x:v>كيمياء</x:v>
      </x:c>
      <x:c r="B82" s="14" t="str">
        <x:v>العلوم الفيزيائية</x:v>
      </x:c>
      <x:c r="C82" s="14" t="str">
        <x:v>المادة وتفاعلاتها</x:v>
      </x:c>
      <x:c r="D82" s="14" t="str">
        <x:v>7-1-2-5-9</x:v>
      </x:c>
      <x:c r="E82" s="14" t="str">
        <x:v>الرابطة التساهمية</x:v>
      </x:c>
      <x:c r="F82" s="14" t="n">
        <x:v>1</x:v>
      </x:c>
    </x:row>
    <x:row r="83">
      <x:c r="A83" s="14" t="str">
        <x:v>كيمياء</x:v>
      </x:c>
      <x:c r="B83" s="14" t="str">
        <x:v>العلوم الفيزيائية</x:v>
      </x:c>
      <x:c r="C83" s="14" t="str">
        <x:v>المادة وتفاعلاتها</x:v>
      </x:c>
      <x:c r="D83" s="14" t="str">
        <x:v>7-1-2-5-9</x:v>
      </x:c>
      <x:c r="E83" s="14" t="str">
        <x:v>تفسير التوصيل في الفلزات</x:v>
      </x:c>
      <x:c r="F83" s="14" t="n">
        <x:v>1</x:v>
      </x:c>
    </x:row>
    <x:row r="84">
      <x:c r="A84" s="14" t="str">
        <x:v>كيمياء</x:v>
      </x:c>
      <x:c r="B84" s="14" t="str">
        <x:v>العلوم الفيزيائية</x:v>
      </x:c>
      <x:c r="C84" s="14" t="str">
        <x:v>المادة وتفاعلاتها</x:v>
      </x:c>
      <x:c r="D84" s="14" t="str">
        <x:v>7-1-2-5-9</x:v>
      </x:c>
      <x:c r="E84" s="14" t="str">
        <x:v>تمييز الروابط الكيميائية</x:v>
      </x:c>
      <x:c r="F84" s="14" t="n">
        <x:v>1</x:v>
      </x:c>
    </x:row>
    <x:row r="85">
      <x:c r="A85" s="14" t="str">
        <x:v>كيمياء</x:v>
      </x:c>
      <x:c r="B85" s="14" t="str">
        <x:v>العلوم الفيزيائية</x:v>
      </x:c>
      <x:c r="C85" s="14" t="str">
        <x:v>المادة وتفاعلاتها</x:v>
      </x:c>
      <x:c r="D85" s="14" t="str">
        <x:v>7-1-2-5-9</x:v>
      </x:c>
      <x:c r="E85" s="14" t="str">
        <x:v>تمييز المركب الجزيئي والأيوني</x:v>
      </x:c>
      <x:c r="F85" s="14" t="n">
        <x:v>1</x:v>
      </x:c>
    </x:row>
    <x:row r="86">
      <x:c r="A86" s="14" t="str">
        <x:v>كيمياء</x:v>
      </x:c>
      <x:c r="B86" s="14" t="str">
        <x:v>العلوم الفيزيائية</x:v>
      </x:c>
      <x:c r="C86" s="14" t="str">
        <x:v>المادة وتفاعلاتها</x:v>
      </x:c>
      <x:c r="D86" s="14" t="str">
        <x:v>7-1-2-5-9</x:v>
      </x:c>
      <x:c r="E86" s="14" t="str">
        <x:v>كتابة صيغة مركب أيوني</x:v>
      </x:c>
      <x:c r="F86" s="14" t="n">
        <x:v>1</x:v>
      </x:c>
    </x:row>
    <x:row r="87">
      <x:c r="A87" s="14" t="str">
        <x:v>كيمياء</x:v>
      </x:c>
      <x:c r="B87" s="14" t="str">
        <x:v>العلوم الفيزيائية</x:v>
      </x:c>
      <x:c r="C87" s="14" t="str">
        <x:v>المادة وتفاعلاتها</x:v>
      </x:c>
      <x:c r="D87" s="14" t="str">
        <x:v>7-1-2-5-9</x:v>
      </x:c>
      <x:c r="E87" s="14" t="str">
        <x:v>موازنة الشحنات في المركبات الأيونية</x:v>
      </x:c>
      <x:c r="F87" s="14" t="n">
        <x:v>1</x:v>
      </x:c>
    </x:row>
    <x:row r="88">
      <x:c r="A88" s="14" t="str">
        <x:v>كيمياء</x:v>
      </x:c>
      <x:c r="B88" s="14" t="str">
        <x:v>العلوم الفيزيائية</x:v>
      </x:c>
      <x:c r="C88" s="14" t="str">
        <x:v>المادة وتفاعلاتها</x:v>
      </x:c>
      <x:c r="D88" s="14" t="str">
        <x:v>8-1-2-5-9</x:v>
      </x:c>
      <x:c r="E88" s="14" t="str">
        <x:v>الطاقة في التفاعلات</x:v>
      </x:c>
      <x:c r="F88" s="14" t="n">
        <x:v>1</x:v>
      </x:c>
    </x:row>
    <x:row r="89">
      <x:c r="A89" s="14" t="str">
        <x:v>كيمياء</x:v>
      </x:c>
      <x:c r="B89" s="14" t="str">
        <x:v>العلوم الفيزيائية</x:v>
      </x:c>
      <x:c r="C89" s="14" t="str">
        <x:v>المادة وتفاعلاتها</x:v>
      </x:c>
      <x:c r="D89" s="14" t="str">
        <x:v>8-1-2-5-9</x:v>
      </x:c>
      <x:c r="E89" s="14" t="str">
        <x:v>تطبيق قانون حفظ الكتلة</x:v>
      </x:c>
      <x:c r="F89" s="14" t="n">
        <x:v>1</x:v>
      </x:c>
    </x:row>
    <x:row r="90">
      <x:c r="A90" s="14" t="str">
        <x:v>كيمياء</x:v>
      </x:c>
      <x:c r="B90" s="14" t="str">
        <x:v>العلوم الفيزيائية</x:v>
      </x:c>
      <x:c r="C90" s="14" t="str">
        <x:v>المادة وتفاعلاتها</x:v>
      </x:c>
      <x:c r="D90" s="14" t="str">
        <x:v>8-1-2-5-9</x:v>
      </x:c>
      <x:c r="E90" s="14" t="str">
        <x:v>تفسير تكون الغاز أثناء التفاعل</x:v>
      </x:c>
      <x:c r="F90" s="14" t="n">
        <x:v>1</x:v>
      </x:c>
    </x:row>
    <x:row r="91">
      <x:c r="A91" s="14" t="str">
        <x:v>كيمياء</x:v>
      </x:c>
      <x:c r="B91" s="14" t="str">
        <x:v>العلوم الفيزيائية</x:v>
      </x:c>
      <x:c r="C91" s="14" t="str">
        <x:v>المادة وتفاعلاتها</x:v>
      </x:c>
      <x:c r="D91" s="14" t="str">
        <x:v>8-1-2-5-9</x:v>
      </x:c>
      <x:c r="E91" s="14" t="str">
        <x:v>تمييز التفاعل الطارد والماص</x:v>
      </x:c>
      <x:c r="F91" s="14" t="n">
        <x:v>1</x:v>
      </x:c>
    </x:row>
    <x:row r="92">
      <x:c r="A92" s="14" t="str">
        <x:v>كيمياء</x:v>
      </x:c>
      <x:c r="B92" s="14" t="str">
        <x:v>العلوم الفيزيائية</x:v>
      </x:c>
      <x:c r="C92" s="14" t="str">
        <x:v>المادة وتفاعلاتها</x:v>
      </x:c>
      <x:c r="D92" s="14" t="str">
        <x:v>8-1-2-5-9</x:v>
      </x:c>
      <x:c r="E92" s="14" t="str">
        <x:v>تمييز تفاعل الاحتراق</x:v>
      </x:c>
      <x:c r="F92" s="14" t="n">
        <x:v>1</x:v>
      </x:c>
    </x:row>
    <x:row r="93">
      <x:c r="A93" s="14" t="str">
        <x:v>كيمياء</x:v>
      </x:c>
      <x:c r="B93" s="14" t="str">
        <x:v>العلوم الفيزيائية</x:v>
      </x:c>
      <x:c r="C93" s="14" t="str">
        <x:v>المادة وتفاعلاتها</x:v>
      </x:c>
      <x:c r="D93" s="14" t="str">
        <x:v>8-1-2-5-9</x:v>
      </x:c>
      <x:c r="E93" s="14" t="str">
        <x:v>دلائل حدوث التفاعل الكيميائي</x:v>
      </x:c>
      <x:c r="F93" s="14" t="n">
        <x:v>1</x:v>
      </x:c>
    </x:row>
    <x:row r="94">
      <x:c r="A94" s="14" t="str">
        <x:v>كيمياء</x:v>
      </x:c>
      <x:c r="B94" s="14" t="str">
        <x:v>العلوم الفيزيائية</x:v>
      </x:c>
      <x:c r="C94" s="14" t="str">
        <x:v>المادة وتفاعلاتها</x:v>
      </x:c>
      <x:c r="D94" s="14" t="str">
        <x:v>8-1-2-5-9</x:v>
      </x:c>
      <x:c r="E94" s="14" t="str">
        <x:v>قانون حفظ الكتلة</x:v>
      </x:c>
      <x:c r="F94" s="14" t="n">
        <x:v>1</x:v>
      </x:c>
    </x:row>
    <x:row r="95">
      <x:c r="A95" s="14" t="str">
        <x:v>كيمياء</x:v>
      </x:c>
      <x:c r="B95" s="14" t="str">
        <x:v>العلوم الفيزيائية</x:v>
      </x:c>
      <x:c r="C95" s="14" t="str">
        <x:v>المادة وتفاعلاتها</x:v>
      </x:c>
      <x:c r="D95" s="14" t="str">
        <x:v>8-1-2-5-9</x:v>
      </x:c>
      <x:c r="E95" s="14" t="str">
        <x:v>موازنة المعادلات الكيميائية</x:v>
      </x:c>
      <x:c r="F95" s="14" t="n">
        <x:v>1</x:v>
      </x:c>
    </x:row>
    <x:row r="96">
      <x:c r="A96" s="14" t="str">
        <x:v>كيمياء</x:v>
      </x:c>
      <x:c r="B96" s="14" t="str">
        <x:v>العلوم الفيزيائية</x:v>
      </x:c>
      <x:c r="C96" s="14" t="str">
        <x:v>المادة وتفاعلاتها</x:v>
      </x:c>
      <x:c r="D96" s="14" t="str">
        <x:v>9-1-2-5-9</x:v>
      </x:c>
      <x:c r="E96" s="14" t="str">
        <x:v>أثر التركيز في سرعة التفاعل</x:v>
      </x:c>
      <x:c r="F96" s="14" t="n">
        <x:v>1</x:v>
      </x:c>
    </x:row>
    <x:row r="97">
      <x:c r="A97" s="14" t="str">
        <x:v>كيمياء</x:v>
      </x:c>
      <x:c r="B97" s="14" t="str">
        <x:v>العلوم الفيزيائية</x:v>
      </x:c>
      <x:c r="C97" s="14" t="str">
        <x:v>المادة وتفاعلاتها</x:v>
      </x:c>
      <x:c r="D97" s="14" t="str">
        <x:v>9-1-2-5-9</x:v>
      </x:c>
      <x:c r="E97" s="14" t="str">
        <x:v>أثر درجة الحرارة في سرعة التفاعل</x:v>
      </x:c>
      <x:c r="F97" s="14" t="n">
        <x:v>1</x:v>
      </x:c>
    </x:row>
    <x:row r="98">
      <x:c r="A98" s="14" t="str">
        <x:v>كيمياء</x:v>
      </x:c>
      <x:c r="B98" s="14" t="str">
        <x:v>العلوم الفيزيائية</x:v>
      </x:c>
      <x:c r="C98" s="14" t="str">
        <x:v>المادة وتفاعلاتها</x:v>
      </x:c>
      <x:c r="D98" s="14" t="str">
        <x:v>9-1-2-5-9</x:v>
      </x:c>
      <x:c r="E98" s="14" t="str">
        <x:v>أثر مساحة السطح</x:v>
      </x:c>
      <x:c r="F98" s="14" t="n">
        <x:v>1</x:v>
      </x:c>
    </x:row>
    <x:row r="99">
      <x:c r="A99" s="14" t="str">
        <x:v>كيمياء</x:v>
      </x:c>
      <x:c r="B99" s="14" t="str">
        <x:v>العلوم الفيزيائية</x:v>
      </x:c>
      <x:c r="C99" s="14" t="str">
        <x:v>المادة وتفاعلاتها</x:v>
      </x:c>
      <x:c r="D99" s="14" t="str">
        <x:v>9-1-2-5-9</x:v>
      </x:c>
      <x:c r="E99" s="14" t="str">
        <x:v>دور المحفز</x:v>
      </x:c>
      <x:c r="F99" s="14" t="n">
        <x:v>1</x:v>
      </x:c>
    </x:row>
    <x:row r="100">
      <x:c r="A100" s="14" t="str">
        <x:v>فيزياء</x:v>
      </x:c>
      <x:c r="B100" s="14" t="str">
        <x:v>العلوم الفيزيائية</x:v>
      </x:c>
      <x:c r="C100" s="14" t="str">
        <x:v>الحركة والقوى</x:v>
      </x:c>
      <x:c r="D100" s="14" t="str">
        <x:v>1-2-2-5-9</x:v>
      </x:c>
      <x:c r="E100" s="14" t="str">
        <x:v>استنتاج التسارع من جدول</x:v>
      </x:c>
      <x:c r="F100" s="14" t="n">
        <x:v>1</x:v>
      </x:c>
    </x:row>
    <x:row r="101">
      <x:c r="A101" s="14" t="str">
        <x:v>فيزياء</x:v>
      </x:c>
      <x:c r="B101" s="14" t="str">
        <x:v>العلوم الفيزيائية</x:v>
      </x:c>
      <x:c r="C101" s="14" t="str">
        <x:v>الحركة والقوى</x:v>
      </x:c>
      <x:c r="D101" s="14" t="str">
        <x:v>1-2-2-5-9</x:v>
      </x:c>
      <x:c r="E101" s="14" t="str">
        <x:v>التسارع السالب</x:v>
      </x:c>
      <x:c r="F101" s="14" t="n">
        <x:v>1</x:v>
      </x:c>
    </x:row>
    <x:row r="102">
      <x:c r="A102" s="14" t="str">
        <x:v>فيزياء</x:v>
      </x:c>
      <x:c r="B102" s="14" t="str">
        <x:v>العلوم الفيزيائية</x:v>
      </x:c>
      <x:c r="C102" s="14" t="str">
        <x:v>الحركة والقوى</x:v>
      </x:c>
      <x:c r="D102" s="14" t="str">
        <x:v>1-2-2-5-9</x:v>
      </x:c>
      <x:c r="E102" s="14" t="str">
        <x:v>التسارع وتغير الاتجاه</x:v>
      </x:c>
      <x:c r="F102" s="14" t="n">
        <x:v>1</x:v>
      </x:c>
    </x:row>
    <x:row r="103">
      <x:c r="A103" s="14" t="str">
        <x:v>فيزياء</x:v>
      </x:c>
      <x:c r="B103" s="14" t="str">
        <x:v>العلوم الفيزيائية</x:v>
      </x:c>
      <x:c r="C103" s="14" t="str">
        <x:v>الحركة والقوى</x:v>
      </x:c>
      <x:c r="D103" s="14" t="str">
        <x:v>1-2-2-5-9</x:v>
      </x:c>
      <x:c r="E103" s="14" t="str">
        <x:v>التمييز بين السرعة والسرعة المتجهة</x:v>
      </x:c>
      <x:c r="F103" s="14" t="n">
        <x:v>1</x:v>
      </x:c>
    </x:row>
    <x:row r="104">
      <x:c r="A104" s="14" t="str">
        <x:v>فيزياء</x:v>
      </x:c>
      <x:c r="B104" s="14" t="str">
        <x:v>العلوم الفيزيائية</x:v>
      </x:c>
      <x:c r="C104" s="14" t="str">
        <x:v>الحركة والقوى</x:v>
      </x:c>
      <x:c r="D104" s="14" t="str">
        <x:v>1-2-2-5-9</x:v>
      </x:c>
      <x:c r="E104" s="14" t="str">
        <x:v>القوة المركزية في الحركة الدائرية</x:v>
      </x:c>
      <x:c r="F104" s="14" t="n">
        <x:v>1</x:v>
      </x:c>
    </x:row>
    <x:row r="105">
      <x:c r="A105" s="14" t="str">
        <x:v>فيزياء</x:v>
      </x:c>
      <x:c r="B105" s="14" t="str">
        <x:v>العلوم الفيزيائية</x:v>
      </x:c>
      <x:c r="C105" s="14" t="str">
        <x:v>الحركة والقوى</x:v>
      </x:c>
      <x:c r="D105" s="14" t="str">
        <x:v>1-2-2-5-9</x:v>
      </x:c>
      <x:c r="E105" s="14" t="str">
        <x:v>النقطة المرجعية</x:v>
      </x:c>
      <x:c r="F105" s="14" t="n">
        <x:v>1</x:v>
      </x:c>
    </x:row>
    <x:row r="106">
      <x:c r="A106" s="14" t="str">
        <x:v>فيزياء</x:v>
      </x:c>
      <x:c r="B106" s="14" t="str">
        <x:v>العلوم الفيزيائية</x:v>
      </x:c>
      <x:c r="C106" s="14" t="str">
        <x:v>الحركة والقوى</x:v>
      </x:c>
      <x:c r="D106" s="14" t="str">
        <x:v>1-2-2-5-9</x:v>
      </x:c>
      <x:c r="E106" s="14" t="str">
        <x:v>تفسير ميل منحنى المسافة والزمن</x:v>
      </x:c>
      <x:c r="F106" s="14" t="n">
        <x:v>1</x:v>
      </x:c>
    </x:row>
    <x:row r="107">
      <x:c r="A107" s="14" t="str">
        <x:v>فيزياء</x:v>
      </x:c>
      <x:c r="B107" s="14" t="str">
        <x:v>العلوم الفيزيائية</x:v>
      </x:c>
      <x:c r="C107" s="14" t="str">
        <x:v>الحركة والقوى</x:v>
      </x:c>
      <x:c r="D107" s="14" t="str">
        <x:v>1-2-2-5-9</x:v>
      </x:c>
      <x:c r="E107" s="14" t="str">
        <x:v>تمييز الحركة المنتظمة</x:v>
      </x:c>
      <x:c r="F107" s="14" t="n">
        <x:v>1</x:v>
      </x:c>
    </x:row>
    <x:row r="108">
      <x:c r="A108" s="14" t="str">
        <x:v>فيزياء</x:v>
      </x:c>
      <x:c r="B108" s="14" t="str">
        <x:v>العلوم الفيزيائية</x:v>
      </x:c>
      <x:c r="C108" s="14" t="str">
        <x:v>الحركة والقوى</x:v>
      </x:c>
      <x:c r="D108" s="14" t="str">
        <x:v>1-2-2-5-9</x:v>
      </x:c>
      <x:c r="E108" s="14" t="str">
        <x:v>حساب التسارع</x:v>
      </x:c>
      <x:c r="F108" s="14" t="n">
        <x:v>2</x:v>
      </x:c>
    </x:row>
    <x:row r="109">
      <x:c r="A109" s="14" t="str">
        <x:v>فيزياء</x:v>
      </x:c>
      <x:c r="B109" s="14" t="str">
        <x:v>العلوم الفيزيائية</x:v>
      </x:c>
      <x:c r="C109" s="14" t="str">
        <x:v>الحركة والقوى</x:v>
      </x:c>
      <x:c r="D109" s="14" t="str">
        <x:v>1-2-2-5-9</x:v>
      </x:c>
      <x:c r="E109" s="14" t="str">
        <x:v>حساب السرعة</x:v>
      </x:c>
      <x:c r="F109" s="14" t="n">
        <x:v>1</x:v>
      </x:c>
    </x:row>
    <x:row r="110">
      <x:c r="A110" s="14" t="str">
        <x:v>فيزياء</x:v>
      </x:c>
      <x:c r="B110" s="14" t="str">
        <x:v>العلوم الفيزيائية</x:v>
      </x:c>
      <x:c r="C110" s="14" t="str">
        <x:v>الحركة والقوى</x:v>
      </x:c>
      <x:c r="D110" s="14" t="str">
        <x:v>1-2-2-5-9</x:v>
      </x:c>
      <x:c r="E110" s="14" t="str">
        <x:v>حساب السرعة المتوسطة</x:v>
      </x:c>
      <x:c r="F110" s="14" t="n">
        <x:v>1</x:v>
      </x:c>
    </x:row>
    <x:row r="111">
      <x:c r="A111" s="14" t="str">
        <x:v>فيزياء</x:v>
      </x:c>
      <x:c r="B111" s="14" t="str">
        <x:v>العلوم الفيزيائية</x:v>
      </x:c>
      <x:c r="C111" s="14" t="str">
        <x:v>الحركة والقوى</x:v>
      </x:c>
      <x:c r="D111" s="14" t="str">
        <x:v>1-2-2-5-9</x:v>
      </x:c>
      <x:c r="E111" s="14" t="str">
        <x:v>حساب السرعة المتوسطة لمسارين</x:v>
      </x:c>
      <x:c r="F111" s="14" t="n">
        <x:v>1</x:v>
      </x:c>
    </x:row>
    <x:row r="112">
      <x:c r="A112" s="14" t="str">
        <x:v>فيزياء</x:v>
      </x:c>
      <x:c r="B112" s="14" t="str">
        <x:v>العلوم الفيزيائية</x:v>
      </x:c>
      <x:c r="C112" s="14" t="str">
        <x:v>الحركة والقوى</x:v>
      </x:c>
      <x:c r="D112" s="14" t="str">
        <x:v>1-2-2-5-9</x:v>
      </x:c>
      <x:c r="E112" s="14" t="str">
        <x:v>قراءة منحنى السرعة والزمن</x:v>
      </x:c>
      <x:c r="F112" s="14" t="n">
        <x:v>1</x:v>
      </x:c>
    </x:row>
    <x:row r="113">
      <x:c r="A113" s="14" t="str">
        <x:v>فيزياء</x:v>
      </x:c>
      <x:c r="B113" s="14" t="str">
        <x:v>العلوم الفيزيائية</x:v>
      </x:c>
      <x:c r="C113" s="14" t="str">
        <x:v>الحركة والقوى</x:v>
      </x:c>
      <x:c r="D113" s="14" t="str">
        <x:v>2-2-2-5-9</x:v>
      </x:c>
      <x:c r="E113" s="14" t="str">
        <x:v>العوامل المؤثرة في الزخم</x:v>
      </x:c>
      <x:c r="F113" s="14" t="n">
        <x:v>1</x:v>
      </x:c>
    </x:row>
    <x:row r="114">
      <x:c r="A114" s="14" t="str">
        <x:v>فيزياء</x:v>
      </x:c>
      <x:c r="B114" s="14" t="str">
        <x:v>العلوم الفيزيائية</x:v>
      </x:c>
      <x:c r="C114" s="14" t="str">
        <x:v>الحركة والقوى</x:v>
      </x:c>
      <x:c r="D114" s="14" t="str">
        <x:v>2-2-2-5-9</x:v>
      </x:c>
      <x:c r="E114" s="14" t="str">
        <x:v>تفسير الارتداد وحفظ الزخم</x:v>
      </x:c>
      <x:c r="F114" s="14" t="n">
        <x:v>1</x:v>
      </x:c>
    </x:row>
    <x:row r="115">
      <x:c r="A115" s="14" t="str">
        <x:v>فيزياء</x:v>
      </x:c>
      <x:c r="B115" s="14" t="str">
        <x:v>العلوم الفيزيائية</x:v>
      </x:c>
      <x:c r="C115" s="14" t="str">
        <x:v>الحركة والقوى</x:v>
      </x:c>
      <x:c r="D115" s="14" t="str">
        <x:v>2-2-2-5-9</x:v>
      </x:c>
      <x:c r="E115" s="14" t="str">
        <x:v>حساب الزخم</x:v>
      </x:c>
      <x:c r="F115" s="14" t="n">
        <x:v>2</x:v>
      </x:c>
    </x:row>
    <x:row r="116">
      <x:c r="A116" s="14" t="str">
        <x:v>فيزياء</x:v>
      </x:c>
      <x:c r="B116" s="14" t="str">
        <x:v>العلوم الفيزيائية</x:v>
      </x:c>
      <x:c r="C116" s="14" t="str">
        <x:v>الحركة والقوى</x:v>
      </x:c>
      <x:c r="D116" s="14" t="str">
        <x:v>2-2-2-5-9</x:v>
      </x:c>
      <x:c r="E116" s="14" t="str">
        <x:v>حفظ الزخم في التصادم</x:v>
      </x:c>
      <x:c r="F116" s="14" t="n">
        <x:v>1</x:v>
      </x:c>
    </x:row>
    <x:row r="117">
      <x:c r="A117" s="14" t="str">
        <x:v>فيزياء</x:v>
      </x:c>
      <x:c r="B117" s="14" t="str">
        <x:v>العلوم الفيزيائية</x:v>
      </x:c>
      <x:c r="C117" s="14" t="str">
        <x:v>الحركة والقوى</x:v>
      </x:c>
      <x:c r="D117" s="14" t="str">
        <x:v>2-2-2-5-9</x:v>
      </x:c>
      <x:c r="E117" s="14" t="str">
        <x:v>مقارنة الزخم</x:v>
      </x:c>
      <x:c r="F117" s="14" t="n">
        <x:v>1</x:v>
      </x:c>
    </x:row>
    <x:row r="118">
      <x:c r="A118" s="14" t="str">
        <x:v>فيزياء</x:v>
      </x:c>
      <x:c r="B118" s="14" t="str">
        <x:v>العلوم الفيزيائية</x:v>
      </x:c>
      <x:c r="C118" s="14" t="str">
        <x:v>الحركة والقوى</x:v>
      </x:c>
      <x:c r="D118" s="14" t="str">
        <x:v>3-2-2-5-9</x:v>
      </x:c>
      <x:c r="E118" s="14" t="str">
        <x:v>العوامل المؤثرة في الاحتكاك</x:v>
      </x:c>
      <x:c r="F118" s="14" t="n">
        <x:v>1</x:v>
      </x:c>
    </x:row>
    <x:row r="119">
      <x:c r="A119" s="14" t="str">
        <x:v>فيزياء</x:v>
      </x:c>
      <x:c r="B119" s="14" t="str">
        <x:v>العلوم الفيزيائية</x:v>
      </x:c>
      <x:c r="C119" s="14" t="str">
        <x:v>الحركة والقوى</x:v>
      </x:c>
      <x:c r="D119" s="14" t="str">
        <x:v>3-2-2-5-9</x:v>
      </x:c>
      <x:c r="E119" s="14" t="str">
        <x:v>تمييز أنواع الاحتكاك</x:v>
      </x:c>
      <x:c r="F119" s="14" t="n">
        <x:v>1</x:v>
      </x:c>
    </x:row>
    <x:row r="120">
      <x:c r="A120" s="14" t="str">
        <x:v>فيزياء</x:v>
      </x:c>
      <x:c r="B120" s="14" t="str">
        <x:v>العلوم الفيزيائية</x:v>
      </x:c>
      <x:c r="C120" s="14" t="str">
        <x:v>الحركة والقوى</x:v>
      </x:c>
      <x:c r="D120" s="14" t="str">
        <x:v>3-2-2-5-9</x:v>
      </x:c>
      <x:c r="E120" s="14" t="str">
        <x:v>تمييز الاحتكاك السكوني</x:v>
      </x:c>
      <x:c r="F120" s="14" t="n">
        <x:v>1</x:v>
      </x:c>
    </x:row>
    <x:row r="121">
      <x:c r="A121" s="14" t="str">
        <x:v>فيزياء</x:v>
      </x:c>
      <x:c r="B121" s="14" t="str">
        <x:v>العلوم الفيزيائية</x:v>
      </x:c>
      <x:c r="C121" s="14" t="str">
        <x:v>الحركة والقوى</x:v>
      </x:c>
      <x:c r="D121" s="14" t="str">
        <x:v>4-2-2-5-9</x:v>
      </x:c>
      <x:c r="E121" s="14" t="str">
        <x:v>القصور الذاتي</x:v>
      </x:c>
      <x:c r="F121" s="14" t="n">
        <x:v>1</x:v>
      </x:c>
    </x:row>
    <x:row r="122">
      <x:c r="A122" s="14" t="str">
        <x:v>فيزياء</x:v>
      </x:c>
      <x:c r="B122" s="14" t="str">
        <x:v>العلوم الفيزيائية</x:v>
      </x:c>
      <x:c r="C122" s="14" t="str">
        <x:v>الحركة والقوى</x:v>
      </x:c>
      <x:c r="D122" s="14" t="str">
        <x:v>4-2-2-5-9</x:v>
      </x:c>
      <x:c r="E122" s="14" t="str">
        <x:v>القصور الذاتي وقانون نيوتن الأول</x:v>
      </x:c>
      <x:c r="F122" s="14" t="n">
        <x:v>1</x:v>
      </x:c>
    </x:row>
    <x:row r="123">
      <x:c r="A123" s="14" t="str">
        <x:v>فيزياء</x:v>
      </x:c>
      <x:c r="B123" s="14" t="str">
        <x:v>العلوم الفيزيائية</x:v>
      </x:c>
      <x:c r="C123" s="14" t="str">
        <x:v>الحركة والقوى</x:v>
      </x:c>
      <x:c r="D123" s="14" t="str">
        <x:v>5-2-2-5-9</x:v>
      </x:c>
      <x:c r="E123" s="14" t="str">
        <x:v>أثر القوة غير المتزنة</x:v>
      </x:c>
      <x:c r="F123" s="14" t="n">
        <x:v>1</x:v>
      </x:c>
    </x:row>
    <x:row r="124">
      <x:c r="A124" s="14" t="str">
        <x:v>فيزياء</x:v>
      </x:c>
      <x:c r="B124" s="14" t="str">
        <x:v>العلوم الفيزيائية</x:v>
      </x:c>
      <x:c r="C124" s="14" t="str">
        <x:v>الحركة والقوى</x:v>
      </x:c>
      <x:c r="D124" s="14" t="str">
        <x:v>5-2-2-5-9</x:v>
      </x:c>
      <x:c r="E124" s="14" t="str">
        <x:v>التمييز بين الكتلة والوزن</x:v>
      </x:c>
      <x:c r="F124" s="14" t="n">
        <x:v>1</x:v>
      </x:c>
    </x:row>
    <x:row r="125">
      <x:c r="A125" s="14" t="str">
        <x:v>فيزياء</x:v>
      </x:c>
      <x:c r="B125" s="14" t="str">
        <x:v>العلوم الفيزيائية</x:v>
      </x:c>
      <x:c r="C125" s="14" t="str">
        <x:v>الحركة والقوى</x:v>
      </x:c>
      <x:c r="D125" s="14" t="str">
        <x:v>5-2-2-5-9</x:v>
      </x:c>
      <x:c r="E125" s="14" t="str">
        <x:v>العلاقة بين الكتلة والتسارع</x:v>
      </x:c>
      <x:c r="F125" s="14" t="n">
        <x:v>1</x:v>
      </x:c>
    </x:row>
    <x:row r="126">
      <x:c r="A126" s="14" t="str">
        <x:v>فيزياء</x:v>
      </x:c>
      <x:c r="B126" s="14" t="str">
        <x:v>العلوم الفيزيائية</x:v>
      </x:c>
      <x:c r="C126" s="14" t="str">
        <x:v>الحركة والقوى</x:v>
      </x:c>
      <x:c r="D126" s="14" t="str">
        <x:v>5-2-2-5-9</x:v>
      </x:c>
      <x:c r="E126" s="14" t="str">
        <x:v>القوى المتزنة</x:v>
      </x:c>
      <x:c r="F126" s="14" t="n">
        <x:v>1</x:v>
      </x:c>
    </x:row>
    <x:row r="127">
      <x:c r="A127" s="14" t="str">
        <x:v>فيزياء</x:v>
      </x:c>
      <x:c r="B127" s="14" t="str">
        <x:v>العلوم الفيزيائية</x:v>
      </x:c>
      <x:c r="C127" s="14" t="str">
        <x:v>الحركة والقوى</x:v>
      </x:c>
      <x:c r="D127" s="14" t="str">
        <x:v>5-2-2-5-9</x:v>
      </x:c>
      <x:c r="E127" s="14" t="str">
        <x:v>حساب القوة من قانون نيوتن الثاني</x:v>
      </x:c>
      <x:c r="F127" s="14" t="n">
        <x:v>1</x:v>
      </x:c>
    </x:row>
    <x:row r="128">
      <x:c r="A128" s="14" t="str">
        <x:v>فيزياء</x:v>
      </x:c>
      <x:c r="B128" s="14" t="str">
        <x:v>العلوم الفيزيائية</x:v>
      </x:c>
      <x:c r="C128" s="14" t="str">
        <x:v>الحركة والقوى</x:v>
      </x:c>
      <x:c r="D128" s="14" t="str">
        <x:v>5-2-2-5-9</x:v>
      </x:c>
      <x:c r="E128" s="14" t="str">
        <x:v>قانون نيوتن الثالث</x:v>
      </x:c>
      <x:c r="F128" s="14" t="n">
        <x:v>1</x:v>
      </x:c>
    </x:row>
    <x:row r="129">
      <x:c r="A129" s="14" t="str">
        <x:v>فيزياء</x:v>
      </x:c>
      <x:c r="B129" s="14" t="str">
        <x:v>العلوم الفيزيائية</x:v>
      </x:c>
      <x:c r="C129" s="14" t="str">
        <x:v>الحركة والقوى</x:v>
      </x:c>
      <x:c r="D129" s="14" t="str">
        <x:v>5-2-2-5-9</x:v>
      </x:c>
      <x:c r="E129" s="14" t="str">
        <x:v>قانون نيوتن الثاني</x:v>
      </x:c>
      <x:c r="F129" s="14" t="n">
        <x:v>1</x:v>
      </x:c>
    </x:row>
    <x:row r="130">
      <x:c r="A130" s="14" t="str">
        <x:v>فيزياء</x:v>
      </x:c>
      <x:c r="B130" s="14" t="str">
        <x:v>العلوم الفيزيائية</x:v>
      </x:c>
      <x:c r="C130" s="14" t="str">
        <x:v>الكهرومغناطيسية</x:v>
      </x:c>
      <x:c r="D130" s="14" t="str">
        <x:v>1-3-2-5-9</x:v>
      </x:c>
      <x:c r="E130" s="14" t="str">
        <x:v>السلامة الكهربائية والمقاومة</x:v>
      </x:c>
      <x:c r="F130" s="14" t="n">
        <x:v>1</x:v>
      </x:c>
    </x:row>
    <x:row r="131">
      <x:c r="A131" s="14" t="str">
        <x:v>فيزياء</x:v>
      </x:c>
      <x:c r="B131" s="14" t="str">
        <x:v>العلوم الفيزيائية</x:v>
      </x:c>
      <x:c r="C131" s="14" t="str">
        <x:v>الكهرومغناطيسية</x:v>
      </x:c>
      <x:c r="D131" s="14" t="str">
        <x:v>1-3-2-5-9</x:v>
      </x:c>
      <x:c r="E131" s="14" t="str">
        <x:v>العلاقة بين المقاومة والتيار</x:v>
      </x:c>
      <x:c r="F131" s="14" t="n">
        <x:v>1</x:v>
      </x:c>
    </x:row>
    <x:row r="132">
      <x:c r="A132" s="14" t="str">
        <x:v>فيزياء</x:v>
      </x:c>
      <x:c r="B132" s="14" t="str">
        <x:v>العلوم الفيزيائية</x:v>
      </x:c>
      <x:c r="C132" s="14" t="str">
        <x:v>الكهرومغناطيسية</x:v>
      </x:c>
      <x:c r="D132" s="14" t="str">
        <x:v>1-3-2-5-9</x:v>
      </x:c>
      <x:c r="E132" s="14" t="str">
        <x:v>تطبيق قانون أوم</x:v>
      </x:c>
      <x:c r="F132" s="14" t="n">
        <x:v>2</x:v>
      </x:c>
    </x:row>
    <x:row r="133">
      <x:c r="A133" s="14" t="str">
        <x:v>فيزياء</x:v>
      </x:c>
      <x:c r="B133" s="14" t="str">
        <x:v>العلوم الفيزيائية</x:v>
      </x:c>
      <x:c r="C133" s="14" t="str">
        <x:v>الكهرومغناطيسية</x:v>
      </x:c>
      <x:c r="D133" s="14" t="str">
        <x:v>2-3-2-5-9</x:v>
      </x:c>
      <x:c r="E133" s="14" t="str">
        <x:v>أثر فتح دائرة التوالي</x:v>
      </x:c>
      <x:c r="F133" s="14" t="n">
        <x:v>1</x:v>
      </x:c>
    </x:row>
    <x:row r="134">
      <x:c r="A134" s="14" t="str">
        <x:v>فيزياء</x:v>
      </x:c>
      <x:c r="B134" s="14" t="str">
        <x:v>العلوم الفيزيائية</x:v>
      </x:c>
      <x:c r="C134" s="14" t="str">
        <x:v>الكهرومغناطيسية</x:v>
      </x:c>
      <x:c r="D134" s="14" t="str">
        <x:v>2-3-2-5-9</x:v>
      </x:c>
      <x:c r="E134" s="14" t="str">
        <x:v>التيار في دائرة التوالي</x:v>
      </x:c>
      <x:c r="F134" s="14" t="n">
        <x:v>1</x:v>
      </x:c>
    </x:row>
    <x:row r="135">
      <x:c r="A135" s="14" t="str">
        <x:v>فيزياء</x:v>
      </x:c>
      <x:c r="B135" s="14" t="str">
        <x:v>العلوم الفيزيائية</x:v>
      </x:c>
      <x:c r="C135" s="14" t="str">
        <x:v>الكهرومغناطيسية</x:v>
      </x:c>
      <x:c r="D135" s="14" t="str">
        <x:v>2-3-2-5-9</x:v>
      </x:c>
      <x:c r="E135" s="14" t="str">
        <x:v>الجهد في فروع التوازي</x:v>
      </x:c>
      <x:c r="F135" s="14" t="n">
        <x:v>1</x:v>
      </x:c>
    </x:row>
    <x:row r="136">
      <x:c r="A136" s="14" t="str">
        <x:v>فيزياء</x:v>
      </x:c>
      <x:c r="B136" s="14" t="str">
        <x:v>العلوم الفيزيائية</x:v>
      </x:c>
      <x:c r="C136" s="14" t="str">
        <x:v>الكهرومغناطيسية</x:v>
      </x:c>
      <x:c r="D136" s="14" t="str">
        <x:v>2-3-2-5-9</x:v>
      </x:c>
      <x:c r="E136" s="14" t="str">
        <x:v>المقارنة بين التوالي والتوازي</x:v>
      </x:c>
      <x:c r="F136" s="14" t="n">
        <x:v>1</x:v>
      </x:c>
    </x:row>
    <x:row r="137">
      <x:c r="A137" s="14" t="str">
        <x:v>فيزياء</x:v>
      </x:c>
      <x:c r="B137" s="14" t="str">
        <x:v>العلوم الفيزيائية</x:v>
      </x:c>
      <x:c r="C137" s="14" t="str">
        <x:v>الكهرومغناطيسية</x:v>
      </x:c>
      <x:c r="D137" s="14" t="str">
        <x:v>4-3-2-5-9</x:v>
      </x:c>
      <x:c r="E137" s="14" t="str">
        <x:v>تحول الطاقة باستخدام المجال المغناطيسي</x:v>
      </x:c>
      <x:c r="F137" s="14" t="n">
        <x:v>1</x:v>
      </x:c>
    </x:row>
    <x:row r="138">
      <x:c r="A138" s="14" t="str">
        <x:v>فيزياء</x:v>
      </x:c>
      <x:c r="B138" s="14" t="str">
        <x:v>العلوم الفيزيائية</x:v>
      </x:c>
      <x:c r="C138" s="14" t="str">
        <x:v>الكهرومغناطيسية</x:v>
      </x:c>
      <x:c r="D138" s="14" t="str">
        <x:v>4-3-2-5-9</x:v>
      </x:c>
      <x:c r="E138" s="14" t="str">
        <x:v>تحولات الطاقة في المحرك</x:v>
      </x:c>
      <x:c r="F138" s="14" t="n">
        <x:v>1</x:v>
      </x:c>
    </x:row>
    <x:row r="139">
      <x:c r="A139" s="14" t="str">
        <x:v>فيزياء</x:v>
      </x:c>
      <x:c r="B139" s="14" t="str">
        <x:v>العلوم الفيزيائية</x:v>
      </x:c>
      <x:c r="C139" s="14" t="str">
        <x:v>الكهرومغناطيسية</x:v>
      </x:c>
      <x:c r="D139" s="14" t="str">
        <x:v>4-3-2-5-9</x:v>
      </x:c>
      <x:c r="E139" s="14" t="str">
        <x:v>تحولات الطاقة في المولد</x:v>
      </x:c>
      <x:c r="F139" s="14" t="n">
        <x:v>1</x:v>
      </x:c>
    </x:row>
    <x:row r="140">
      <x:c r="A140" s="14" t="str">
        <x:v>فيزياء</x:v>
      </x:c>
      <x:c r="B140" s="14" t="str">
        <x:v>العلوم الفيزيائية</x:v>
      </x:c>
      <x:c r="C140" s="14" t="str">
        <x:v>الكهرومغناطيسية</x:v>
      </x:c>
      <x:c r="D140" s="14" t="str">
        <x:v>4-3-2-5-9</x:v>
      </x:c>
      <x:c r="E140" s="14" t="str">
        <x:v>تقوية المغناطيس الكهربائي</x:v>
      </x:c>
      <x:c r="F140" s="14" t="n">
        <x:v>1</x:v>
      </x:c>
    </x:row>
    <x:row r="141">
      <x:c r="A141" s="14" t="str">
        <x:v>فيزياء</x:v>
      </x:c>
      <x:c r="B141" s="14" t="str">
        <x:v>العلوم الفيزيائية</x:v>
      </x:c>
      <x:c r="C141" s="14" t="str">
        <x:v>الموجات والاهتزازات</x:v>
      </x:c>
      <x:c r="D141" s="14" t="str">
        <x:v>1-5-2-5-9 / 2-5-2-5-9</x:v>
      </x:c>
      <x:c r="E141" s="14" t="str">
        <x:v>العلاقة بين التردد والطول الموجي</x:v>
      </x:c>
      <x:c r="F141" s="14" t="n">
        <x:v>1</x:v>
      </x:c>
    </x:row>
    <x:row r="142">
      <x:c r="A142" s="14" t="str">
        <x:v>فيزياء</x:v>
      </x:c>
      <x:c r="B142" s="14" t="str">
        <x:v>العلوم الفيزيائية</x:v>
      </x:c>
      <x:c r="C142" s="14" t="str">
        <x:v>الموجات والاهتزازات</x:v>
      </x:c>
      <x:c r="D142" s="14" t="str">
        <x:v>1-5-2-5-9 / 2-5-2-5-9</x:v>
      </x:c>
      <x:c r="E142" s="14" t="str">
        <x:v>انعكاس الضوء</x:v>
      </x:c>
      <x:c r="F142" s="14" t="n">
        <x:v>1</x:v>
      </x:c>
    </x:row>
    <x:row r="143">
      <x:c r="A143" s="14" t="str">
        <x:v>فيزياء</x:v>
      </x:c>
      <x:c r="B143" s="14" t="str">
        <x:v>العلوم الفيزيائية</x:v>
      </x:c>
      <x:c r="C143" s="14" t="str">
        <x:v>الموجات والاهتزازات</x:v>
      </x:c>
      <x:c r="D143" s="14" t="str">
        <x:v>1-5-2-5-9 / 2-5-2-5-9</x:v>
      </x:c>
      <x:c r="E143" s="14" t="str">
        <x:v>انكسار الضوء</x:v>
      </x:c>
      <x:c r="F143" s="14" t="n">
        <x:v>1</x:v>
      </x:c>
    </x:row>
    <x:row r="144">
      <x:c r="A144" s="14" t="str">
        <x:v>فيزياء</x:v>
      </x:c>
      <x:c r="B144" s="14" t="str">
        <x:v>العلوم الفيزيائية</x:v>
      </x:c>
      <x:c r="C144" s="14" t="str">
        <x:v>الموجات والاهتزازات</x:v>
      </x:c>
      <x:c r="D144" s="14" t="str">
        <x:v>1-5-2-5-9 / 2-5-2-5-9</x:v>
      </x:c>
      <x:c r="E144" s="14" t="str">
        <x:v>تفسير خصائص الصوت والضوء</x:v>
      </x:c>
      <x:c r="F144" s="14" t="n">
        <x:v>1</x:v>
      </x:c>
    </x:row>
    <x:row r="145">
      <x:c r="A145" s="14" t="str">
        <x:v>فيزياء</x:v>
      </x:c>
      <x:c r="B145" s="14" t="str">
        <x:v>العلوم الفيزيائية</x:v>
      </x:c>
      <x:c r="C145" s="14" t="str">
        <x:v>الموجات والاهتزازات</x:v>
      </x:c>
      <x:c r="D145" s="14" t="str">
        <x:v>1-5-2-5-9 / 2-5-2-5-9</x:v>
      </x:c>
      <x:c r="E145" s="14" t="str">
        <x:v>تمييز الحدة والشدة في الصوت</x:v>
      </x:c>
      <x:c r="F145" s="14" t="n">
        <x:v>1</x:v>
      </x:c>
    </x:row>
    <x:row r="146">
      <x:c r="A146" s="14" t="str">
        <x:v>فيزياء</x:v>
      </x:c>
      <x:c r="B146" s="14" t="str">
        <x:v>العلوم الفيزيائية</x:v>
      </x:c>
      <x:c r="C146" s="14" t="str">
        <x:v>الموجات والاهتزازات</x:v>
      </x:c>
      <x:c r="D146" s="14" t="str">
        <x:v>1-5-2-5-9 / 2-5-2-5-9</x:v>
      </x:c>
      <x:c r="E146" s="14" t="str">
        <x:v>تمييز الموجات الطولية والمستعرضة</x:v>
      </x:c>
      <x:c r="F146" s="14" t="n">
        <x:v>1</x:v>
      </x:c>
    </x:row>
    <x:row r="147">
      <x:c r="A147" s="14" t="str">
        <x:v>علوم الأرض والفضاء</x:v>
      </x:c>
      <x:c r="B147" s="14" t="str">
        <x:v>علوم الأرض والفضاء</x:v>
      </x:c>
      <x:c r="C147" s="14" t="str">
        <x:v>الأرض والنشاط البشري</x:v>
      </x:c>
      <x:c r="D147" s="14" t="str">
        <x:v>1-3-3-5-9</x:v>
      </x:c>
      <x:c r="E147" s="14" t="str">
        <x:v>تحليل بيانات الأخطار الطبيعية</x:v>
      </x:c>
      <x:c r="F147" s="14" t="n">
        <x:v>1</x:v>
      </x:c>
    </x:row>
    <x:row r="148">
      <x:c r="A148" s="14" t="str">
        <x:v>علوم الأرض والفضاء</x:v>
      </x:c>
      <x:c r="B148" s="14" t="str">
        <x:v>علوم الأرض والفضاء</x:v>
      </x:c>
      <x:c r="C148" s="14" t="str">
        <x:v>الأرض والنشاط البشري</x:v>
      </x:c>
      <x:c r="D148" s="14" t="str">
        <x:v>1-3-3-5-9</x:v>
      </x:c>
      <x:c r="E148" s="14" t="str">
        <x:v>تقليل أخطار التسونامي</x:v>
      </x:c>
      <x:c r="F148" s="14" t="n">
        <x:v>1</x:v>
      </x:c>
    </x:row>
    <x:row r="149">
      <x:c r="A149" s="14" t="str">
        <x:v>علوم الأرض والفضاء</x:v>
      </x:c>
      <x:c r="B149" s="14" t="str">
        <x:v>علوم الأرض والفضاء</x:v>
      </x:c>
      <x:c r="C149" s="14" t="str">
        <x:v>الأرض والنشاط البشري</x:v>
      </x:c>
      <x:c r="D149" s="14" t="str">
        <x:v>2-3-3-5-9</x:v>
      </x:c>
      <x:c r="E149" s="14" t="str">
        <x:v>إدارة المياه الجوفية</x:v>
      </x:c>
      <x:c r="F149" s="14" t="n">
        <x:v>1</x:v>
      </x:c>
    </x:row>
    <x:row r="150">
      <x:c r="A150" s="14" t="str">
        <x:v>علوم الأرض والفضاء</x:v>
      </x:c>
      <x:c r="B150" s="14" t="str">
        <x:v>علوم الأرض والفضاء</x:v>
      </x:c>
      <x:c r="C150" s="14" t="str">
        <x:v>الأرض والنشاط البشري</x:v>
      </x:c>
      <x:c r="D150" s="14" t="str">
        <x:v>2-3-3-5-9</x:v>
      </x:c>
      <x:c r="E150" s="14" t="str">
        <x:v>الحد من انجراف التربة</x:v>
      </x:c>
      <x:c r="F150" s="14" t="n">
        <x:v>1</x:v>
      </x:c>
    </x:row>
    <x:row r="151">
      <x:c r="A151" s="14" t="str">
        <x:v>علوم الأرض والفضاء</x:v>
      </x:c>
      <x:c r="B151" s="14" t="str">
        <x:v>علوم الأرض والفضاء</x:v>
      </x:c>
      <x:c r="C151" s="14" t="str">
        <x:v>الأرض والنشاط البشري</x:v>
      </x:c>
      <x:c r="D151" s="14" t="str">
        <x:v>2-3-3-5-9</x:v>
      </x:c>
      <x:c r="E151" s="14" t="str">
        <x:v>تقويم حلول المحافظة على الموارد الطبيعية</x:v>
      </x:c>
      <x:c r="F151" s="14" t="n">
        <x:v>1</x:v>
      </x:c>
    </x:row>
    <x:row r="152">
      <x:c r="A152" s="14" t="str">
        <x:v>علوم الأرض والفضاء</x:v>
      </x:c>
      <x:c r="B152" s="14" t="str">
        <x:v>علوم الأرض والفضاء</x:v>
      </x:c>
      <x:c r="C152" s="14" t="str">
        <x:v>الأرض والنشاط البشري</x:v>
      </x:c>
      <x:c r="D152" s="14" t="str">
        <x:v>2-3-3-5-9</x:v>
      </x:c>
      <x:c r="E152" s="14" t="str">
        <x:v>تمييز الموارد المتجددة</x:v>
      </x:c>
      <x:c r="F152" s="14" t="n">
        <x:v>1</x:v>
      </x:c>
    </x:row>
    <x:row r="153">
      <x:c r="A153" s="14" t="str">
        <x:v>علوم الأرض والفضاء</x:v>
      </x:c>
      <x:c r="B153" s="14" t="str">
        <x:v>علوم الأرض والفضاء</x:v>
      </x:c>
      <x:c r="C153" s="14" t="str">
        <x:v>الأرض والنشاط البشري</x:v>
      </x:c>
      <x:c r="D153" s="14" t="str">
        <x:v>2-3-3-5-9</x:v>
      </x:c>
      <x:c r="E153" s="14" t="str">
        <x:v>توقع آثار الاعتماد على الموارد غير المتجددة</x:v>
      </x:c>
      <x:c r="F153" s="14" t="n">
        <x:v>1</x:v>
      </x:c>
    </x:row>
    <x:row r="154">
      <x:c r="A154" s="14" t="str">
        <x:v>علوم الأرض والفضاء</x:v>
      </x:c>
      <x:c r="B154" s="14" t="str">
        <x:v>علوم الأرض والفضاء</x:v>
      </x:c>
      <x:c r="C154" s="14" t="str">
        <x:v>الكون والنظام الشمسي</x:v>
      </x:c>
      <x:c r="D154" s="14" t="str">
        <x:v>1-1-3-5-9</x:v>
      </x:c>
      <x:c r="E154" s="14" t="str">
        <x:v>أدوات وتقنيات استكشاف الكون</x:v>
      </x:c>
      <x:c r="F154" s="14" t="n">
        <x:v>1</x:v>
      </x:c>
    </x:row>
    <x:row r="155">
      <x:c r="A155" s="14" t="str">
        <x:v>علوم الأرض والفضاء</x:v>
      </x:c>
      <x:c r="B155" s="14" t="str">
        <x:v>علوم الأرض والفضاء</x:v>
      </x:c>
      <x:c r="C155" s="14" t="str">
        <x:v>الكون والنظام الشمسي</x:v>
      </x:c>
      <x:c r="D155" s="14" t="str">
        <x:v>1-1-3-5-9</x:v>
      </x:c>
      <x:c r="E155" s="14" t="str">
        <x:v>العلاقة بين لون النجم وحرارته</x:v>
      </x:c>
      <x:c r="F155" s="14" t="n">
        <x:v>1</x:v>
      </x:c>
    </x:row>
    <x:row r="156">
      <x:c r="A156" s="14" t="str">
        <x:v>علوم الأرض والفضاء</x:v>
      </x:c>
      <x:c r="B156" s="14" t="str">
        <x:v>علوم الأرض والفضاء</x:v>
      </x:c>
      <x:c r="C156" s="14" t="str">
        <x:v>الكون والنظام الشمسي</x:v>
      </x:c>
      <x:c r="D156" s="14" t="str">
        <x:v>1-1-3-5-9</x:v>
      </x:c>
      <x:c r="E156" s="14" t="str">
        <x:v>تحليل بيانات المسافات الكونية</x:v>
      </x:c>
      <x:c r="F156" s="14" t="n">
        <x:v>1</x:v>
      </x:c>
    </x:row>
    <x:row r="157">
      <x:c r="A157" s="14" t="str">
        <x:v>علوم الأرض والفضاء</x:v>
      </x:c>
      <x:c r="B157" s="14" t="str">
        <x:v>علوم الأرض والفضاء</x:v>
      </x:c>
      <x:c r="C157" s="14" t="str">
        <x:v>الكون والنظام الشمسي</x:v>
      </x:c>
      <x:c r="D157" s="14" t="str">
        <x:v>1-1-3-5-9</x:v>
      </x:c>
      <x:c r="E157" s="14" t="str">
        <x:v>ترتيب الأجرام في النظام الشمسي</x:v>
      </x:c>
      <x:c r="F157" s="14" t="n">
        <x:v>1</x:v>
      </x:c>
    </x:row>
    <x:row r="158">
      <x:c r="A158" s="14" t="str">
        <x:v>علوم الأرض والفضاء</x:v>
      </x:c>
      <x:c r="B158" s="14" t="str">
        <x:v>علوم الأرض والفضاء</x:v>
      </x:c>
      <x:c r="C158" s="14" t="str">
        <x:v>الكون والنظام الشمسي</x:v>
      </x:c>
      <x:c r="D158" s="14" t="str">
        <x:v>1-1-3-5-9</x:v>
      </x:c>
      <x:c r="E158" s="14" t="str">
        <x:v>قياس المسافات الكونية</x:v>
      </x:c>
      <x:c r="F158" s="14" t="n">
        <x:v>1</x:v>
      </x:c>
    </x:row>
    <x:row r="159">
      <x:c r="A159" s="14" t="str">
        <x:v>علوم الأرض والفضاء</x:v>
      </x:c>
      <x:c r="B159" s="14" t="str">
        <x:v>علوم الأرض والفضاء</x:v>
      </x:c>
      <x:c r="C159" s="14" t="str">
        <x:v>الكون والنظام الشمسي</x:v>
      </x:c>
      <x:c r="D159" s="14" t="str">
        <x:v>2-1-3-5-9</x:v>
      </x:c>
      <x:c r="E159" s="14" t="str">
        <x:v>أطوار القمر</x:v>
      </x:c>
      <x:c r="F159" s="14" t="n">
        <x:v>1</x:v>
      </x:c>
    </x:row>
    <x:row r="160">
      <x:c r="A160" s="14" t="str">
        <x:v>علوم الأرض والفضاء</x:v>
      </x:c>
      <x:c r="B160" s="14" t="str">
        <x:v>علوم الأرض والفضاء</x:v>
      </x:c>
      <x:c r="C160" s="14" t="str">
        <x:v>الكون والنظام الشمسي</x:v>
      </x:c>
      <x:c r="D160" s="14" t="str">
        <x:v>2-1-3-5-9</x:v>
      </x:c>
      <x:c r="E160" s="14" t="str">
        <x:v>استنتاج الظروف السائدة على الأجرام</x:v>
      </x:c>
      <x:c r="F160" s="14" t="n">
        <x:v>1</x:v>
      </x:c>
    </x:row>
    <x:row r="161">
      <x:c r="A161" s="14" t="str">
        <x:v>علوم الأرض والفضاء</x:v>
      </x:c>
      <x:c r="B161" s="14" t="str">
        <x:v>علوم الأرض والفضاء</x:v>
      </x:c>
      <x:c r="C161" s="14" t="str">
        <x:v>الكون والنظام الشمسي</x:v>
      </x:c>
      <x:c r="D161" s="14" t="str">
        <x:v>2-1-3-5-9</x:v>
      </x:c>
      <x:c r="E161" s="14" t="str">
        <x:v>تفسير الكسوف الشمسي</x:v>
      </x:c>
      <x:c r="F161" s="14" t="n">
        <x:v>1</x:v>
      </x:c>
    </x:row>
    <x:row r="162">
      <x:c r="A162" s="14" t="str">
        <x:v>علوم الأرض والفضاء</x:v>
      </x:c>
      <x:c r="B162" s="14" t="str">
        <x:v>علوم الأرض والفضاء</x:v>
      </x:c>
      <x:c r="C162" s="14" t="str">
        <x:v>الكون والنظام الشمسي</x:v>
      </x:c>
      <x:c r="D162" s="14" t="str">
        <x:v>2-1-3-5-9</x:v>
      </x:c>
      <x:c r="E162" s="14" t="str">
        <x:v>دور الجاذبية في المدارات</x:v>
      </x:c>
      <x:c r="F162" s="14" t="n">
        <x:v>1</x:v>
      </x:c>
    </x:row>
    <x:row r="163">
      <x:c r="A163" s="14" t="str">
        <x:v>علوم الأرض والفضاء</x:v>
      </x:c>
      <x:c r="B163" s="14" t="str">
        <x:v>علوم الأرض والفضاء</x:v>
      </x:c>
      <x:c r="C163" s="14" t="str">
        <x:v>النظام الأرضي</x:v>
      </x:c>
      <x:c r="D163" s="14" t="str">
        <x:v>1-2-3-5-9</x:v>
      </x:c>
      <x:c r="E163" s="14" t="str">
        <x:v>الاحتباس الحراري</x:v>
      </x:c>
      <x:c r="F163" s="14" t="n">
        <x:v>1</x:v>
      </x:c>
    </x:row>
    <x:row r="164">
      <x:c r="A164" s="14" t="str">
        <x:v>علوم الأرض والفضاء</x:v>
      </x:c>
      <x:c r="B164" s="14" t="str">
        <x:v>علوم الأرض والفضاء</x:v>
      </x:c>
      <x:c r="C164" s="14" t="str">
        <x:v>النظام الأرضي</x:v>
      </x:c>
      <x:c r="D164" s="14" t="str">
        <x:v>1-2-3-5-9</x:v>
      </x:c>
      <x:c r="E164" s="14" t="str">
        <x:v>التمييز بين الطقس والمناخ</x:v>
      </x:c>
      <x:c r="F164" s="14" t="n">
        <x:v>1</x:v>
      </x:c>
    </x:row>
    <x:row r="165">
      <x:c r="A165" s="14" t="str">
        <x:v>علوم الأرض والفضاء</x:v>
      </x:c>
      <x:c r="B165" s="14" t="str">
        <x:v>علوم الأرض والفضاء</x:v>
      </x:c>
      <x:c r="C165" s="14" t="str">
        <x:v>النظام الأرضي</x:v>
      </x:c>
      <x:c r="D165" s="14" t="str">
        <x:v>1-2-3-5-9</x:v>
      </x:c>
      <x:c r="E165" s="14" t="str">
        <x:v>العلاقة بين الضغط والرياح</x:v>
      </x:c>
      <x:c r="F165" s="14" t="n">
        <x:v>1</x:v>
      </x:c>
    </x:row>
    <x:row r="166">
      <x:c r="A166" s="14" t="str">
        <x:v>علوم الأرض والفضاء</x:v>
      </x:c>
      <x:c r="B166" s="14" t="str">
        <x:v>علوم الأرض والفضاء</x:v>
      </x:c>
      <x:c r="C166" s="14" t="str">
        <x:v>النظام الأرضي</x:v>
      </x:c>
      <x:c r="D166" s="14" t="str">
        <x:v>1-2-3-5-9</x:v>
      </x:c>
      <x:c r="E166" s="14" t="str">
        <x:v>تحليل التغيرات المناخية واحتباس الحرارة</x:v>
      </x:c>
      <x:c r="F166" s="14" t="n">
        <x:v>1</x:v>
      </x:c>
    </x:row>
    <x:row r="167">
      <x:c r="A167" s="14" t="str">
        <x:v>علوم الأرض والفضاء</x:v>
      </x:c>
      <x:c r="B167" s="14" t="str">
        <x:v>علوم الأرض والفضاء</x:v>
      </x:c>
      <x:c r="C167" s="14" t="str">
        <x:v>النظام الأرضي</x:v>
      </x:c>
      <x:c r="D167" s="14" t="str">
        <x:v>1-2-3-5-9</x:v>
      </x:c>
      <x:c r="E167" s="14" t="str">
        <x:v>تحليل بيانات مناخية</x:v>
      </x:c>
      <x:c r="F167" s="14" t="n">
        <x:v>1</x:v>
      </x:c>
    </x:row>
    <x:row r="168">
      <x:c r="A168" s="14" t="str">
        <x:v>علوم الأرض والفضاء</x:v>
      </x:c>
      <x:c r="B168" s="14" t="str">
        <x:v>علوم الأرض والفضاء</x:v>
      </x:c>
      <x:c r="C168" s="14" t="str">
        <x:v>النظام الأرضي</x:v>
      </x:c>
      <x:c r="D168" s="14" t="str">
        <x:v>1-2-3-5-9</x:v>
      </x:c>
      <x:c r="E168" s="14" t="str">
        <x:v>تحليل بيانات مناخية ومقارنة الفترات</x:v>
      </x:c>
      <x:c r="F168" s="14" t="n">
        <x:v>1</x:v>
      </x:c>
    </x:row>
    <x:row r="169">
      <x:c r="A169" s="14" t="str">
        <x:v>علوم الأرض والفضاء</x:v>
      </x:c>
      <x:c r="B169" s="14" t="str">
        <x:v>علوم الأرض والفضاء</x:v>
      </x:c>
      <x:c r="C169" s="14" t="str">
        <x:v>النظام الأرضي</x:v>
      </x:c>
      <x:c r="D169" s="14" t="str">
        <x:v>2-2-3-5-9</x:v>
      </x:c>
      <x:c r="E169" s="14" t="str">
        <x:v>دور النباتات في دورة الكربون</x:v>
      </x:c>
      <x:c r="F169" s="14" t="n">
        <x:v>1</x:v>
      </x:c>
    </x:row>
    <x:row r="170">
      <x:c r="A170" s="14" t="str">
        <x:v>علوم الأرض والفضاء</x:v>
      </x:c>
      <x:c r="B170" s="14" t="str">
        <x:v>علوم الأرض والفضاء</x:v>
      </x:c>
      <x:c r="C170" s="14" t="str">
        <x:v>النظام الأرضي</x:v>
      </x:c>
      <x:c r="D170" s="14" t="str">
        <x:v>2-2-3-5-9</x:v>
      </x:c>
      <x:c r="E170" s="14" t="str">
        <x:v>دورة الكربون بين أغلفة الأرض</x:v>
      </x:c>
      <x:c r="F170" s="14" t="n">
        <x:v>1</x:v>
      </x:c>
    </x:row>
    <x:row r="171">
      <x:c r="A171" s="14" t="str">
        <x:v>علوم الأرض والفضاء</x:v>
      </x:c>
      <x:c r="B171" s="14" t="str">
        <x:v>علوم الأرض والفضاء</x:v>
      </x:c>
      <x:c r="C171" s="14" t="str">
        <x:v>النظام الأرضي</x:v>
      </x:c>
      <x:c r="D171" s="14" t="str">
        <x:v>2-2-3-5-9</x:v>
      </x:c>
      <x:c r="E171" s="14" t="str">
        <x:v>دورة الكربون والاحتراق</x:v>
      </x:c>
      <x:c r="F171" s="14" t="n">
        <x:v>1</x:v>
      </x:c>
    </x:row>
    <x:row r="172">
      <x:c r="A172" s="14" t="str">
        <x:v>علوم الأرض والفضاء</x:v>
      </x:c>
      <x:c r="B172" s="14" t="str">
        <x:v>علوم الأرض والفضاء</x:v>
      </x:c>
      <x:c r="C172" s="14" t="str">
        <x:v>النظام الأرضي</x:v>
      </x:c>
      <x:c r="D172" s="14" t="str">
        <x:v>3-2-3-5-9</x:v>
      </x:c>
      <x:c r="E172" s="14" t="str">
        <x:v>الدورات الطبيعية وتأثيرها في البيئة</x:v>
      </x:c>
      <x:c r="F172" s="14" t="n">
        <x:v>1</x:v>
      </x:c>
    </x:row>
    <x:row r="173">
      <x:c r="A173" s="14" t="str">
        <x:v>علوم الأرض والفضاء</x:v>
      </x:c>
      <x:c r="B173" s="14" t="str">
        <x:v>علوم الأرض والفضاء</x:v>
      </x:c>
      <x:c r="C173" s="14" t="str">
        <x:v>النظام الأرضي</x:v>
      </x:c>
      <x:c r="D173" s="14" t="str">
        <x:v>3-2-3-5-9</x:v>
      </x:c>
      <x:c r="E173" s="14" t="str">
        <x:v>المياه الجوفية والتسرب</x:v>
      </x:c>
      <x:c r="F173" s="14" t="n">
        <x:v>1</x:v>
      </x:c>
    </x:row>
    <x:row r="174">
      <x:c r="A174" s="14" t="str">
        <x:v>علوم الأرض والفضاء</x:v>
      </x:c>
      <x:c r="B174" s="14" t="str">
        <x:v>علوم الأرض والفضاء</x:v>
      </x:c>
      <x:c r="C174" s="14" t="str">
        <x:v>النظام الأرضي</x:v>
      </x:c>
      <x:c r="D174" s="14" t="str">
        <x:v>3-2-3-5-9</x:v>
      </x:c>
      <x:c r="E174" s="14" t="str">
        <x:v>تكاثف بخار الماء وتكون السحب</x:v>
      </x:c>
      <x:c r="F174" s="14" t="n">
        <x:v>1</x:v>
      </x:c>
    </x:row>
    <x:row r="175">
      <x:c r="A175" s="14" t="str">
        <x:v>علوم الأرض والفضاء</x:v>
      </x:c>
      <x:c r="B175" s="14" t="str">
        <x:v>علوم الأرض والفضاء</x:v>
      </x:c>
      <x:c r="C175" s="14" t="str">
        <x:v>النظام الأرضي</x:v>
      </x:c>
      <x:c r="D175" s="14" t="str">
        <x:v>3-2-3-5-9</x:v>
      </x:c>
      <x:c r="E175" s="14" t="str">
        <x:v>مراحل دورة الماء</x:v>
      </x:c>
      <x:c r="F175" s="14" t="n">
        <x:v>1</x:v>
      </x:c>
    </x:row>
    <x:row r="176">
      <x:c r="A176" s="14" t="str">
        <x:v>علوم الأرض والفضاء</x:v>
      </x:c>
      <x:c r="B176" s="14" t="str">
        <x:v>علوم الأرض والفضاء</x:v>
      </x:c>
      <x:c r="C176" s="14" t="str">
        <x:v>النظام الأرضي</x:v>
      </x:c>
      <x:c r="D176" s="14" t="str">
        <x:v>4-2-3-5-9</x:v>
      </x:c>
      <x:c r="E176" s="14" t="str">
        <x:v>الانفصام والمكسر</x:v>
      </x:c>
      <x:c r="F176" s="14" t="n">
        <x:v>1</x:v>
      </x:c>
    </x:row>
    <x:row r="177">
      <x:c r="A177" s="14" t="str">
        <x:v>علوم الأرض والفضاء</x:v>
      </x:c>
      <x:c r="B177" s="14" t="str">
        <x:v>علوم الأرض والفضاء</x:v>
      </x:c>
      <x:c r="C177" s="14" t="str">
        <x:v>النظام الأرضي</x:v>
      </x:c>
      <x:c r="D177" s="14" t="str">
        <x:v>4-2-3-5-9</x:v>
      </x:c>
      <x:c r="E177" s="14" t="str">
        <x:v>تمييز المعادن من خصائصها</x:v>
      </x:c>
      <x:c r="F177" s="14" t="n">
        <x:v>1</x:v>
      </x:c>
    </x:row>
    <x:row r="178">
      <x:c r="A178" s="14" t="str">
        <x:v>علوم الأرض والفضاء</x:v>
      </x:c>
      <x:c r="B178" s="14" t="str">
        <x:v>علوم الأرض والفضاء</x:v>
      </x:c>
      <x:c r="C178" s="14" t="str">
        <x:v>النظام الأرضي</x:v>
      </x:c>
      <x:c r="D178" s="14" t="str">
        <x:v>4-2-3-5-9</x:v>
      </x:c>
      <x:c r="E178" s="14" t="str">
        <x:v>خاصية المخدش للمعادن</x:v>
      </x:c>
      <x:c r="F178" s="14" t="n">
        <x:v>1</x:v>
      </x:c>
    </x:row>
    <x:row r="179">
      <x:c r="A179" s="14" t="str">
        <x:v>علوم الأرض والفضاء</x:v>
      </x:c>
      <x:c r="B179" s="14" t="str">
        <x:v>علوم الأرض والفضاء</x:v>
      </x:c>
      <x:c r="C179" s="14" t="str">
        <x:v>النظام الأرضي</x:v>
      </x:c>
      <x:c r="D179" s="14" t="str">
        <x:v>5-2-3-5-9</x:v>
      </x:c>
      <x:c r="E179" s="14" t="str">
        <x:v>تصنيف الصخور النارية حسب موقع التبريد</x:v>
      </x:c>
      <x:c r="F179" s="14" t="n">
        <x:v>1</x:v>
      </x:c>
    </x:row>
    <x:row r="180">
      <x:c r="A180" s="14" t="str">
        <x:v>علوم الأرض والفضاء</x:v>
      </x:c>
      <x:c r="B180" s="14" t="str">
        <x:v>علوم الأرض والفضاء</x:v>
      </x:c>
      <x:c r="C180" s="14" t="str">
        <x:v>النظام الأرضي</x:v>
      </x:c>
      <x:c r="D180" s="14" t="str">
        <x:v>5-2-3-5-9</x:v>
      </x:c>
      <x:c r="E180" s="14" t="str">
        <x:v>تفسير دورة الصخور</x:v>
      </x:c>
      <x:c r="F180" s="14" t="n">
        <x:v>1</x:v>
      </x:c>
    </x:row>
    <x:row r="181">
      <x:c r="A181" s="14" t="str">
        <x:v>علوم الأرض والفضاء</x:v>
      </x:c>
      <x:c r="B181" s="14" t="str">
        <x:v>علوم الأرض والفضاء</x:v>
      </x:c>
      <x:c r="C181" s="14" t="str">
        <x:v>النظام الأرضي</x:v>
      </x:c>
      <x:c r="D181" s="14" t="str">
        <x:v>5-2-3-5-9</x:v>
      </x:c>
      <x:c r="E181" s="14" t="str">
        <x:v>تكون الصخور الرسوبية</x:v>
      </x:c>
      <x:c r="F181" s="14" t="n">
        <x:v>1</x:v>
      </x:c>
    </x:row>
    <x:row r="182">
      <x:c r="A182" s="14" t="str">
        <x:v>علوم الأرض والفضاء</x:v>
      </x:c>
      <x:c r="B182" s="14" t="str">
        <x:v>علوم الأرض والفضاء</x:v>
      </x:c>
      <x:c r="C182" s="14" t="str">
        <x:v>النظام الأرضي</x:v>
      </x:c>
      <x:c r="D182" s="14" t="str">
        <x:v>5-2-3-5-9</x:v>
      </x:c>
      <x:c r="E182" s="14" t="str">
        <x:v>تكون الصخور المتحولة</x:v>
      </x:c>
      <x:c r="F182" s="14" t="n">
        <x:v>1</x:v>
      </x:c>
    </x:row>
    <x:row r="183">
      <x:c r="A183" s="14" t="str">
        <x:v>علوم الأرض والفضاء</x:v>
      </x:c>
      <x:c r="B183" s="14" t="str">
        <x:v>علوم الأرض والفضاء</x:v>
      </x:c>
      <x:c r="C183" s="14" t="str">
        <x:v>النظام الأرضي</x:v>
      </x:c>
      <x:c r="D183" s="14" t="str">
        <x:v>5-2-3-5-9</x:v>
      </x:c>
      <x:c r="E183" s="14" t="str">
        <x:v>تمييز الصخور الرسوبية</x:v>
      </x:c>
      <x:c r="F183" s="14" t="n">
        <x:v>1</x:v>
      </x:c>
    </x:row>
    <x:row r="184">
      <x:c r="A184" s="14" t="str">
        <x:v>علوم الأرض والفضاء</x:v>
      </x:c>
      <x:c r="B184" s="14" t="str">
        <x:v>علوم الأرض والفضاء</x:v>
      </x:c>
      <x:c r="C184" s="14" t="str">
        <x:v>النظام الأرضي</x:v>
      </x:c>
      <x:c r="D184" s="14" t="str">
        <x:v>5-2-3-5-9</x:v>
      </x:c>
      <x:c r="E184" s="14" t="str">
        <x:v>حجم البلورات ومعدل التبريد</x:v>
      </x:c>
      <x:c r="F184" s="14" t="n">
        <x:v>1</x:v>
      </x:c>
    </x:row>
    <x:row r="185">
      <x:c r="A185" s="14" t="str">
        <x:v>علوم الأرض والفضاء</x:v>
      </x:c>
      <x:c r="B185" s="14" t="str">
        <x:v>علوم الأرض والفضاء</x:v>
      </x:c>
      <x:c r="C185" s="14" t="str">
        <x:v>النظام الأرضي</x:v>
      </x:c>
      <x:c r="D185" s="14" t="str">
        <x:v>6-2-3-5-9</x:v>
      </x:c>
      <x:c r="E185" s="14" t="str">
        <x:v>تحديد المركز السطحي بالمحطات</x:v>
      </x:c>
      <x:c r="F185" s="14" t="n">
        <x:v>1</x:v>
      </x:c>
    </x:row>
    <x:row r="186">
      <x:c r="A186" s="14" t="str">
        <x:v>علوم الأرض والفضاء</x:v>
      </x:c>
      <x:c r="B186" s="14" t="str">
        <x:v>علوم الأرض والفضاء</x:v>
      </x:c>
      <x:c r="C186" s="14" t="str">
        <x:v>النظام الأرضي</x:v>
      </x:c>
      <x:c r="D186" s="14" t="str">
        <x:v>6-2-3-5-9</x:v>
      </x:c>
      <x:c r="E186" s="14" t="str">
        <x:v>تمييز أشكال البراكين</x:v>
      </x:c>
      <x:c r="F186" s="14" t="n">
        <x:v>1</x:v>
      </x:c>
    </x:row>
    <x:row r="187">
      <x:c r="A187" s="14" t="str">
        <x:v>علوم الأرض والفضاء</x:v>
      </x:c>
      <x:c r="B187" s="14" t="str">
        <x:v>علوم الأرض والفضاء</x:v>
      </x:c>
      <x:c r="C187" s="14" t="str">
        <x:v>النظام الأرضي</x:v>
      </x:c>
      <x:c r="D187" s="14" t="str">
        <x:v>6-2-3-5-9</x:v>
      </x:c>
      <x:c r="E187" s="14" t="str">
        <x:v>تمييز أنواع الصدوع</x:v>
      </x:c>
      <x:c r="F187" s="14" t="n">
        <x:v>1</x:v>
      </x:c>
    </x:row>
    <x:row r="188">
      <x:c r="A188" s="14" t="str">
        <x:v>علوم الأرض والفضاء</x:v>
      </x:c>
      <x:c r="B188" s="14" t="str">
        <x:v>علوم الأرض والفضاء</x:v>
      </x:c>
      <x:c r="C188" s="14" t="str">
        <x:v>النظام الأرضي</x:v>
      </x:c>
      <x:c r="D188" s="14" t="str">
        <x:v>6-2-3-5-9</x:v>
      </x:c>
      <x:c r="E188" s="14" t="str">
        <x:v>تمييز بؤرة الزلزال والمركز السطحي</x:v>
      </x:c>
      <x:c r="F188" s="14" t="n">
        <x:v>1</x:v>
      </x:c>
    </x:row>
    <x:row r="189">
      <x:c r="A189" s="14" t="str">
        <x:v>علوم الأرض والفضاء</x:v>
      </x:c>
      <x:c r="B189" s="14" t="str">
        <x:v>علوم الأرض والفضاء</x:v>
      </x:c>
      <x:c r="C189" s="14" t="str">
        <x:v>النظام الأرضي</x:v>
      </x:c>
      <x:c r="D189" s="14" t="str">
        <x:v>6-2-3-5-9</x:v>
      </x:c>
      <x:c r="E189" s="14" t="str">
        <x:v>خصائص الموجات الزلزالية</x:v>
      </x:c>
      <x:c r="F189" s="14" t="n">
        <x:v>1</x:v>
      </x:c>
    </x:row>
    <x:row r="190">
      <x:c r="A190" s="14" t="str">
        <x:v>علوم الأرض والفضاء</x:v>
      </x:c>
      <x:c r="B190" s="14" t="str">
        <x:v>علوم الأرض والفضاء</x:v>
      </x:c>
      <x:c r="C190" s="14" t="str">
        <x:v>النظام الأرضي</x:v>
      </x:c>
      <x:c r="D190" s="14" t="str">
        <x:v>6-2-3-5-9</x:v>
      </x:c>
      <x:c r="E190" s="14" t="str">
        <x:v>سلوك الموجات S</x:v>
      </x:c>
      <x:c r="F190" s="14" t="n">
        <x:v>1</x:v>
      </x:c>
    </x:row>
    <x:row r="191">
      <x:c r="A191" s="14" t="str">
        <x:v>علوم الأرض والفضاء</x:v>
      </x:c>
      <x:c r="B191" s="14" t="str">
        <x:v>علوم الأرض والفضاء</x:v>
      </x:c>
      <x:c r="C191" s="14" t="str">
        <x:v>النظام الأرضي</x:v>
      </x:c>
      <x:c r="D191" s="14" t="str">
        <x:v>6-2-3-5-9</x:v>
      </x:c>
      <x:c r="E191" s="14" t="str">
        <x:v>لزوجة اللابة وشكل البركان</x:v>
      </x:c>
      <x:c r="F191" s="14" t="n">
        <x:v>1</x:v>
      </x:c>
    </x:row>
    <x:row r="192">
      <x:c r="A192" s="14" t="str">
        <x:v>علوم الأرض والفضاء</x:v>
      </x:c>
      <x:c r="B192" s="14" t="str">
        <x:v>علوم الأرض والفضاء</x:v>
      </x:c>
      <x:c r="C192" s="14" t="str">
        <x:v>النظام الأرضي</x:v>
      </x:c>
      <x:c r="D192" s="14" t="str">
        <x:v>7-2-3-5-9</x:v>
      </x:c>
      <x:c r="E192" s="14" t="str">
        <x:v>الاندساس عند الحدود التقاربية</x:v>
      </x:c>
      <x:c r="F192" s="14" t="n">
        <x:v>1</x:v>
      </x:c>
    </x:row>
    <x:row r="193">
      <x:c r="A193" s="14" t="str">
        <x:v>علوم الأرض والفضاء</x:v>
      </x:c>
      <x:c r="B193" s="14" t="str">
        <x:v>علوم الأرض والفضاء</x:v>
      </x:c>
      <x:c r="C193" s="14" t="str">
        <x:v>النظام الأرضي</x:v>
      </x:c>
      <x:c r="D193" s="14" t="str">
        <x:v>7-2-3-5-9</x:v>
      </x:c>
      <x:c r="E193" s="14" t="str">
        <x:v>تمييز حدود الصفائح</x:v>
      </x:c>
      <x:c r="F193" s="14" t="n">
        <x:v>1</x:v>
      </x:c>
    </x:row>
    <x:row r="194">
      <x:c r="A194" s="14" t="str">
        <x:v>علوم الأرض والفضاء</x:v>
      </x:c>
      <x:c r="B194" s="14" t="str">
        <x:v>علوم الأرض والفضاء</x:v>
      </x:c>
      <x:c r="C194" s="14" t="str">
        <x:v>النظام الأرضي</x:v>
      </x:c>
      <x:c r="D194" s="14" t="str">
        <x:v>7-2-3-5-9</x:v>
      </x:c>
      <x:c r="E194" s="14" t="str">
        <x:v>حدود الصفائح التباعدية</x:v>
      </x:c>
      <x:c r="F194" s="14" t="n">
        <x:v>1</x:v>
      </x:c>
    </x:row>
    <x:row r="195">
      <x:c r="A195" s="14" t="str">
        <x:v>علوم الأرض والفضاء</x:v>
      </x:c>
      <x:c r="B195" s="14" t="str">
        <x:v>علوم الأرض والفضاء</x:v>
      </x:c>
      <x:c r="C195" s="14" t="str">
        <x:v>النظام الأرضي</x:v>
      </x:c>
      <x:c r="D195" s="14" t="str">
        <x:v>7-2-3-5-9</x:v>
      </x:c>
      <x:c r="E195" s="14" t="str">
        <x:v>حدود الصفائح التحويلية</x:v>
      </x:c>
      <x:c r="F195" s="14" t="n">
        <x:v>1</x:v>
      </x:c>
    </x:row>
    <x:row r="196">
      <x:c r="A196" s="14" t="str">
        <x:v>علوم الأرض والفضاء</x:v>
      </x:c>
      <x:c r="B196" s="14" t="str">
        <x:v>علوم الأرض والفضاء</x:v>
      </x:c>
      <x:c r="C196" s="14" t="str">
        <x:v>النظام الأرضي</x:v>
      </x:c>
      <x:c r="D196" s="14" t="str">
        <x:v>7-2-3-5-9</x:v>
      </x:c>
      <x:c r="E196" s="14" t="str">
        <x:v>ربط الزلازل والبراكين بحدود الصفائح</x:v>
      </x:c>
      <x:c r="F196" s="14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4" hidden="0" customWidth="1"/>
    <x:col min="4" max="4" width="22" hidden="0" customWidth="1"/>
    <x:col min="5" max="5" width="15" hidden="0" customWidth="1"/>
    <x:col min="6" max="6" width="24" hidden="0" customWidth="1"/>
  </x:cols>
  <x:sheetData>
    <x:row r="1" ht="34" customHeight="1">
      <x:c r="A1" s="30" t="str">
        <x:v>بنك أسئلة نافس – علوم ثالث متوسط | النسخة النهائية بعد مراجعة المصادر</x:v>
      </x:c>
      <x:c r="B1" s="30"/>
      <x:c r="C1" s="30"/>
      <x:c r="D1" s="30"/>
      <x:c r="E1" s="30"/>
      <x:c r="F1" s="30"/>
    </x:row>
    <x:row r="3">
      <x:c r="A3" s="42" t="str">
        <x:v>المؤشر</x:v>
      </x:c>
      <x:c r="B3" s="42" t="str">
        <x:v>القيمة</x:v>
      </x:c>
      <x:c r="C3" s="12"/>
      <x:c r="D3" s="42" t="str">
        <x:v>المستوى الإدراكي</x:v>
      </x:c>
      <x:c r="E3" s="42" t="str">
        <x:v>العدد</x:v>
      </x:c>
      <x:c r="F3" s="12"/>
    </x:row>
    <x:row r="4">
      <x:c r="A4" s="12" t="str">
        <x:v>إجمالي الأسئلة</x:v>
      </x:c>
      <x:c r="B4" s="12" t="n">
        <x:f>COUNTA('بنك الأسئلة'!A2:A241)</x:f>
        <x:v>240</x:v>
      </x:c>
      <x:c r="C4" s="12"/>
      <x:c r="D4" s="12" t="str">
        <x:v>معرفة</x:v>
      </x:c>
      <x:c r="E4" s="12" t="n">
        <x:f>COUNTIF('بنك الأسئلة'!G2:G241,"معرفة")</x:f>
        <x:v>22</x:v>
      </x:c>
      <x:c r="F4" s="12"/>
    </x:row>
    <x:row r="5">
      <x:c r="A5" s="12" t="str">
        <x:v>أحياء</x:v>
      </x:c>
      <x:c r="B5" s="12" t="n">
        <x:f>COUNTIF('بنك الأسئلة'!B2:B241,"أحياء")</x:f>
        <x:v>60</x:v>
      </x:c>
      <x:c r="C5" s="12"/>
      <x:c r="D5" s="12" t="str">
        <x:v>تطبيق</x:v>
      </x:c>
      <x:c r="E5" s="12" t="n">
        <x:f>COUNTIF('بنك الأسئلة'!G2:G241,"تطبيق")</x:f>
        <x:v>108</x:v>
      </x:c>
      <x:c r="F5" s="12"/>
    </x:row>
    <x:row r="6">
      <x:c r="A6" s="12" t="str">
        <x:v>كيمياء</x:v>
      </x:c>
      <x:c r="B6" s="12" t="n">
        <x:f>COUNTIF('بنك الأسئلة'!B2:B241,"كيمياء")</x:f>
        <x:v>60</x:v>
      </x:c>
      <x:c r="C6" s="12"/>
      <x:c r="D6" s="12" t="str">
        <x:v>استدلال</x:v>
      </x:c>
      <x:c r="E6" s="12" t="n">
        <x:f>COUNTIF('بنك الأسئلة'!G2:G241,"استدلال")</x:f>
        <x:v>110</x:v>
      </x:c>
      <x:c r="F6" s="12"/>
    </x:row>
    <x:row r="7">
      <x:c r="A7" s="12" t="str">
        <x:v>فيزياء</x:v>
      </x:c>
      <x:c r="B7" s="12" t="n">
        <x:f>COUNTIF('بنك الأسئلة'!B2:B241,"فيزياء")</x:f>
        <x:v>60</x:v>
      </x:c>
      <x:c r="C7" s="12"/>
      <x:c r="D7" s="12"/>
      <x:c r="E7" s="12"/>
      <x:c r="F7" s="12"/>
    </x:row>
    <x:row r="8">
      <x:c r="A8" s="12" t="str">
        <x:v>علوم الأرض والفضاء</x:v>
      </x:c>
      <x:c r="B8" s="12" t="n">
        <x:f>COUNTIF('بنك الأسئلة'!B2:B241,"علوم الأرض والفضاء")</x:f>
        <x:v>60</x:v>
      </x:c>
      <x:c r="C8" s="12"/>
      <x:c r="D8" s="42" t="str">
        <x:v>الوسائط البصرية</x:v>
      </x:c>
      <x:c r="E8" s="42" t="str">
        <x:v>العدد</x:v>
      </x:c>
      <x:c r="F8" s="12"/>
    </x:row>
    <x:row r="9">
      <x:c r="A9" s="12"/>
      <x:c r="B9" s="12"/>
      <x:c r="C9" s="12"/>
      <x:c r="D9" s="12" t="str">
        <x:v>صورة</x:v>
      </x:c>
      <x:c r="E9" s="12" t="n">
        <x:f>COUNTIF('بنك الأسئلة'!Q2:Q241,"صورة")</x:f>
        <x:v>28</x:v>
      </x:c>
      <x:c r="F9" s="12"/>
    </x:row>
    <x:row r="10">
      <x:c r="A10" s="42" t="str">
        <x:v>ملاحظة البناء</x:v>
      </x:c>
      <x:c r="B10" s="42" t="str">
        <x:v>التفصيل</x:v>
      </x:c>
      <x:c r="C10" s="12"/>
      <x:c r="D10" s="12" t="str">
        <x:v>رسم</x:v>
      </x:c>
      <x:c r="E10" s="12" t="n">
        <x:f>COUNTIF('بنك الأسئلة'!Q2:Q241,"رسم")</x:f>
        <x:v>22</x:v>
      </x:c>
      <x:c r="F10" s="12"/>
    </x:row>
    <x:row r="11">
      <x:c r="A11" s="12" t="str">
        <x:v>المرجع الأعلى</x:v>
      </x:c>
      <x:c r="B11" s="12" t="str">
        <x:v>هيئة تقويم التعليم والتدريب – نواتج التعلم ونماذج التهيئة</x:v>
      </x:c>
      <x:c r="C11" s="12"/>
      <x:c r="D11" s="12" t="str">
        <x:v>رسم بياني</x:v>
      </x:c>
      <x:c r="E11" s="12" t="n">
        <x:f>COUNTIF('بنك الأسئلة'!Q2:Q241,"رسم بياني")</x:f>
        <x:v>20</x:v>
      </x:c>
      <x:c r="F11" s="12"/>
    </x:row>
    <x:row r="12">
      <x:c r="A12" s="12" t="str">
        <x:v>مصادر مساندة</x:v>
      </x:c>
      <x:c r="B12" s="12" t="str">
        <x:v>المصادر المساندة التي أرسلها المعلم: حصاد العلم ami.sa و nafs.pro، مع بقاء الهيئة المرجع الأعلى</x:v>
      </x:c>
      <x:c r="C12" s="12"/>
      <x:c r="D12" s="12" t="str">
        <x:v>جدول</x:v>
      </x:c>
      <x:c r="E12" s="12" t="n">
        <x:f>COUNTIF('بنك الأسئلة'!Q2:Q241,"جدول")</x:f>
        <x:v>27</x:v>
      </x:c>
      <x:c r="F12" s="12"/>
    </x:row>
    <x:row r="13">
      <x:c r="A13" s="12" t="str">
        <x:v>سياسة الصياغة</x:v>
      </x:c>
      <x:c r="B13" s="12" t="str">
        <x:v>الأسئلة الجديدة أصلية وليست نسخًا حرفية من التجميعات</x:v>
      </x:c>
      <x:c r="C13" s="12"/>
      <x:c r="D13" s="12" t="str">
        <x:v>خريطة</x:v>
      </x:c>
      <x:c r="E13" s="12" t="n">
        <x:f>COUNTIF('بنك الأسئلة'!Q2:Q241,"خريطة")</x:f>
        <x:v>5</x:v>
      </x:c>
      <x:c r="F13" s="12"/>
    </x:row>
    <x:row r="14">
      <x:c r="A14" s="12" t="str">
        <x:v>الجاهزية</x:v>
      </x:c>
      <x:c r="B14" s="12" t="str">
        <x:v>جاهز للتحويل إلى JSON والرفع دفعة واحدة إلى منصة نافس</x:v>
      </x:c>
      <x:c r="C14" s="12"/>
      <x:c r="D14" s="12"/>
      <x:c r="E14" s="12"/>
      <x:c r="F14" s="12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70f609659194e0a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42" hidden="0" customWidth="1"/>
    <x:col min="5" max="5" width="55" hidden="0" customWidth="1"/>
    <x:col min="6" max="6" width="38" hidden="0" customWidth="1"/>
  </x:cols>
  <x:sheetData>
    <x:row r="1">
      <x:c r="A1" s="49" t="str">
        <x:v>النوع</x:v>
      </x:c>
      <x:c r="B1" s="49" t="str">
        <x:v>المصدر</x:v>
      </x:c>
      <x:c r="C1" s="49" t="str">
        <x:v>درجة الاعتماد</x:v>
      </x:c>
      <x:c r="D1" s="49" t="str">
        <x:v>الاستخدام في البنك</x:v>
      </x:c>
      <x:c r="E1" s="49" t="str">
        <x:v>الرابط</x:v>
      </x:c>
      <x:c r="F1" s="49" t="str">
        <x:v>ملاحظة</x:v>
      </x:c>
    </x:row>
    <x:row r="2">
      <x:c r="A2" s="14" t="str">
        <x:v>رسمي</x:v>
      </x:c>
      <x:c r="B2" s="14" t="str">
        <x:v>هيئة تقويم التعليم والتدريب – صفحة نافس</x:v>
      </x:c>
      <x:c r="C2" s="14" t="str">
        <x:v>رسمي</x:v>
      </x:c>
      <x:c r="D2" s="14" t="str">
        <x:v>المرجع الأعلى ونماذج التهيئة وأدلة نافس</x:v>
      </x:c>
      <x:c r="E2" s="14" t="str">
        <x:v>https://eservices.etec.gov.sa/ar/programs/nafs</x:v>
      </x:c>
      <x:c r="F2" s="14" t="str">
        <x:v>آخر مرجع قبل الرفع</x:v>
      </x:c>
    </x:row>
    <x:row r="3">
      <x:c r="A3" s="14" t="str">
        <x:v>رسمي</x:v>
      </x:c>
      <x:c r="B3" s="14" t="str">
        <x:v>وثيقة نواتج التعلم للاختبارات الوطنية – العلوم</x:v>
      </x:c>
      <x:c r="C3" s="14" t="str">
        <x:v>رسمي</x:v>
      </x:c>
      <x:c r="D3" s="14" t="str">
        <x:v>ربط الأسئلة بالمجال وناتج التعلم والمؤشر</x:v>
      </x:c>
      <x:c r="E3" s="14" t="str">
        <x:v>https://media.etec.gov.sa/media/sszdnh2h/%D9%86%D9%88%D8%A7%D8%AA%D8%AC-%D8%A7%D9%84%D8%AA%D8%B9%D9%84%D9%85-2026.pdf</x:v>
      </x:c>
      <x:c r="F3" s="14" t="str">
        <x:v>أساس بناء البنك</x:v>
      </x:c>
    </x:row>
    <x:row r="4">
      <x:c r="A4" s="14" t="str">
        <x:v>رسمي</x:v>
      </x:c>
      <x:c r="B4" s="14" t="str">
        <x:v>دليل نافس – مثال علوم ثالث متوسط</x:v>
      </x:c>
      <x:c r="C4" s="14" t="str">
        <x:v>رسمي</x:v>
      </x:c>
      <x:c r="D4" s="14" t="str">
        <x:v>تأكيد نمط الجداول واتخاذ القرار من البيانات</x:v>
      </x:c>
      <x:c r="E4" s="14" t="str">
        <x:v>https://nafs.etec.gov.sa/</x:v>
      </x:c>
      <x:c r="F4" s="14" t="str">
        <x:v>يتضمن مثال معايير البناء والزلازل</x:v>
      </x:c>
    </x:row>
    <x:row r="5">
      <x:c r="A5" s="14" t="str">
        <x:v>مساند أرسله المعلم</x:v>
      </x:c>
      <x:c r="B5" s="14" t="str">
        <x:v>حصاد العلم – تدريب نافس</x:v>
      </x:c>
      <x:c r="C5" s="14" t="str">
        <x:v>غير رسمي</x:v>
      </x:c>
      <x:c r="D5" s="14" t="str">
        <x:v>مراجعة الموضوعات والمعايير وشكل الأسئلة الموقفية</x:v>
      </x:c>
      <x:c r="E5" s="14" t="str">
        <x:v>https://ami.sa/nafis_index.php</x:v>
      </x:c>
      <x:c r="F5" s="14" t="str">
        <x:v>استخدم كمرجع نمط لا كمصدر رسمي</x:v>
      </x:c>
    </x:row>
    <x:row r="6">
      <x:c r="A6" s="14" t="str">
        <x:v>مساند أرسله المعلم</x:v>
      </x:c>
      <x:c r="B6" s="14" t="str">
        <x:v>تحدي نافس – العلوم</x:v>
      </x:c>
      <x:c r="C6" s="14" t="str">
        <x:v>غير رسمي</x:v>
      </x:c>
      <x:c r="D6" s="14" t="str">
        <x:v>مراجعة تغطية معايير العلوم وكثافة التدريب</x:v>
      </x:c>
      <x:c r="E6" s="14" t="str">
        <x:v>https://nafs.pro/</x:v>
      </x:c>
      <x:c r="F6" s="14" t="str">
        <x:v>يذكر أكثر من 400 سؤال تدريبي للعلوم</x:v>
      </x:c>
    </x:row>
    <x:row r="7">
      <x:c r="A7" s="14" t="str">
        <x:v>مساند</x:v>
      </x:c>
      <x:c r="B7" s="14" t="str">
        <x:v>الإصدار الجديد من تدريب نافس</x:v>
      </x:c>
      <x:c r="C7" s="14" t="str">
        <x:v>غير رسمي</x:v>
      </x:c>
      <x:c r="D7" s="14" t="str">
        <x:v>مراجعة إضافية لبنية التدريب للصف الثالث المتوسط</x:v>
      </x:c>
      <x:c r="E7" s="14" t="str">
        <x:v>https://www.nafss.pro/</x:v>
      </x:c>
      <x:c r="F7" s="14" t="str">
        <x:v>يذكر 2000 سؤال تدريبي إجمالًا</x:v>
      </x:c>
    </x:row>
    <x:row r="8">
      <x:c r="A8" s="14"/>
      <x:c r="B8" s="14"/>
      <x:c r="C8" s="14"/>
      <x:c r="D8" s="14"/>
      <x:c r="E8" s="14"/>
      <x:c r="F8" s="14"/>
    </x:row>
    <x:row r="9">
      <x:c r="A9" s="14"/>
      <x:c r="B9" s="14"/>
      <x:c r="C9" s="14"/>
      <x:c r="D9" s="14"/>
      <x:c r="E9" s="14"/>
      <x:c r="F9" s="14"/>
    </x:row>
  </x:sheetData>
  <x:pageMargins left="0.7" right="0.7" top="0.75" bottom="0.75" header="0.3" footer="0.3"/>
</x:worksheet>
</file>